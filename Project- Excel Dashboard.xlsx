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d.docs.live.net/9c465aa32f8382d9/Desktop/"/>
    </mc:Choice>
  </mc:AlternateContent>
  <xr:revisionPtr revIDLastSave="190" documentId="8_{9E7E65BC-724D-4D91-876C-B9716E462D25}" xr6:coauthVersionLast="47" xr6:coauthVersionMax="47" xr10:uidLastSave="{8A47CAE4-143B-4553-B528-AC64813A883C}"/>
  <bookViews>
    <workbookView xWindow="-108" yWindow="-108" windowWidth="23256" windowHeight="12456" activeTab="5" xr2:uid="{0D72BB9B-2F71-4170-B081-2D0AEDCED6AA}"/>
  </bookViews>
  <sheets>
    <sheet name="Annual salary Vs Bonus" sheetId="2" r:id="rId1"/>
    <sheet name="Male Vs Female" sheetId="3" r:id="rId2"/>
    <sheet name="City" sheetId="4" r:id="rId3"/>
    <sheet name="Department Vs Gender" sheetId="5" r:id="rId4"/>
    <sheet name="Employee Data" sheetId="1" r:id="rId5"/>
    <sheet name="Dashboard" sheetId="6" r:id="rId6"/>
  </sheets>
  <definedNames>
    <definedName name="NativeTimeline_Hire_Date">#N/A</definedName>
    <definedName name="Slicer_City">#N/A</definedName>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2" i="1"/>
</calcChain>
</file>

<file path=xl/sharedStrings.xml><?xml version="1.0" encoding="utf-8"?>
<sst xmlns="http://schemas.openxmlformats.org/spreadsheetml/2006/main" count="501" uniqueCount="177">
  <si>
    <t>EEID</t>
  </si>
  <si>
    <t>Full Name</t>
  </si>
  <si>
    <t>Job Title</t>
  </si>
  <si>
    <t>Department</t>
  </si>
  <si>
    <t>Business Unit</t>
  </si>
  <si>
    <t>Gender</t>
  </si>
  <si>
    <t>Ethnicity</t>
  </si>
  <si>
    <t>Age</t>
  </si>
  <si>
    <t>Hire Date</t>
  </si>
  <si>
    <t>Annual Salary</t>
  </si>
  <si>
    <t>Bonus %</t>
  </si>
  <si>
    <t>Country</t>
  </si>
  <si>
    <t>City</t>
  </si>
  <si>
    <t>E02387</t>
  </si>
  <si>
    <t>Emily Davis</t>
  </si>
  <si>
    <t>Sr. Manger</t>
  </si>
  <si>
    <t>IT</t>
  </si>
  <si>
    <t>Research &amp; Development</t>
  </si>
  <si>
    <t>Female</t>
  </si>
  <si>
    <t>Black</t>
  </si>
  <si>
    <t>United States</t>
  </si>
  <si>
    <t>Seattle</t>
  </si>
  <si>
    <t>E04105</t>
  </si>
  <si>
    <t>Theodore Dinh</t>
  </si>
  <si>
    <t>Technical Architect</t>
  </si>
  <si>
    <t>Manufacturing</t>
  </si>
  <si>
    <t>Male</t>
  </si>
  <si>
    <t>Asian</t>
  </si>
  <si>
    <t>China</t>
  </si>
  <si>
    <t>Chongqing</t>
  </si>
  <si>
    <t>E02572</t>
  </si>
  <si>
    <t>Luna Sanders</t>
  </si>
  <si>
    <t>Director</t>
  </si>
  <si>
    <t>Finance</t>
  </si>
  <si>
    <t>Speciality Products</t>
  </si>
  <si>
    <t>Caucasian</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</si>
  <si>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</si>
  <si>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</si>
  <si>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</si>
  <si>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</si>
  <si>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</si>
  <si>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</si>
  <si>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</si>
  <si>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</si>
  <si>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</si>
  <si>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</si>
  <si>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</si>
  <si>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</si>
  <si>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</si>
  <si>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</si>
  <si>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</si>
  <si>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</si>
  <si>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</si>
  <si>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</si>
  <si>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</si>
  <si>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</si>
  <si>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</si>
  <si>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</si>
  <si>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</si>
  <si>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</si>
  <si>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</si>
  <si>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</si>
  <si>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</si>
  <si>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</si>
  <si>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</si>
  <si>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</si>
  <si>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</si>
  <si>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</si>
  <si>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</si>
  <si>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</si>
  <si>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</si>
  <si>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</si>
  <si>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</si>
  <si>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</si>
  <si>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</si>
  <si>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</si>
  <si>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</si>
  <si>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</si>
  <si>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</si>
  <si>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</si>
  <si>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</si>
  <si>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</si>
  <si>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</si>
  <si>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</si>
  <si>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</si>
  <si>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</si>
  <si>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</si>
  <si>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</si>
  <si>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</si>
  <si>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</si>
  <si>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</si>
  <si>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</si>
  <si>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</si>
  <si>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</si>
  <si>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</si>
  <si>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</si>
  <si>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</si>
  <si>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</si>
  <si>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</si>
  <si>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</si>
  <si>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</si>
  <si>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</si>
  <si>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</si>
  <si>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</si>
  <si>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</si>
  <si>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</si>
  <si>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</si>
  <si>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</si>
  <si>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</si>
  <si>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</si>
  <si>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</si>
  <si>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</si>
  <si>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</si>
  <si>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</si>
  <si>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</si>
  <si>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</si>
  <si>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</si>
  <si>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</si>
  <si>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</si>
  <si>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</si>
  <si>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</si>
  <si>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</si>
  <si>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</si>
  <si>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</si>
  <si>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</si>
  <si>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</si>
  <si>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</si>
  <si>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</si>
  <si>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</si>
  <si>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</si>
  <si>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</si>
  <si>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</si>
  <si>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</si>
  <si>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</si>
  <si>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</si>
  <si>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</si>
  <si>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</si>
  <si>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</si>
  <si>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</si>
  <si>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</si>
  <si>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</si>
  <si>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</si>
  <si>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</si>
  <si>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</si>
  <si>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</si>
  <si>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</si>
  <si>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</si>
  <si>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</si>
  <si>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</si>
  <si>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</si>
  <si>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</si>
  <si>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</si>
  <si>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</si>
  <si>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</si>
  <si>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</si>
  <si>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</si>
  <si>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</si>
  <si>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</si>
  <si>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</si>
  <si>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Month</t>
  </si>
  <si>
    <t>Row Labels</t>
  </si>
  <si>
    <t>January</t>
  </si>
  <si>
    <t>February</t>
  </si>
  <si>
    <t>March</t>
  </si>
  <si>
    <t>April</t>
  </si>
  <si>
    <t>May</t>
  </si>
  <si>
    <t>June</t>
  </si>
  <si>
    <t>July</t>
  </si>
  <si>
    <t>September</t>
  </si>
  <si>
    <t>October</t>
  </si>
  <si>
    <t>November</t>
  </si>
  <si>
    <t>December</t>
  </si>
  <si>
    <t>Grand Total</t>
  </si>
  <si>
    <t>Sum of Annual Salary</t>
  </si>
  <si>
    <t>Sum of Bonus %</t>
  </si>
  <si>
    <t>Count of Gender</t>
  </si>
  <si>
    <t xml:space="preserve">                                                                                                                                                                                          Employee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</si>
</sst>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x14ac:knownFonts="1">
    <font>
      <sz val="11"/>
      <color theme="1"/>
      <name val="Calibri"/>
      <family val="2"/>
      <scheme val="minor"/>
    </font>
    <font>
      <b/>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6" fontId="0" fillId="0" borderId="1" xfId="0" applyNumberFormat="1" applyBorder="1" applyAlignment="1">
      <alignment horizontal="center"/>
    </xf>
    <xf numFmtId="9" fontId="0" fillId="0" borderId="1" xfId="0" applyNumberFormat="1" applyBorder="1" applyAlignment="1">
      <alignment horizontal="center"/>
    </xf>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6" fontId="0" fillId="0" borderId="0" xfId="0" applyNumberFormat="1"/>
    <xf numFmtId="9" fontId="0" fillId="0" borderId="0" xfId="0" applyNumberFormat="1"/>
    <xf numFmtId="0" fontId="2" fillId="2"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Dashboard.xlsx]Annual salary Vs Bonus!PivotTable1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Salary Vs Bonus</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'Annual salary Vs Bonus'!$B$3</c:f>
              <c:strCache>
                <c:ptCount val="1"/>
                <c:pt idx="0">
                  <c:v>Sum of Annual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'Annual salary Vs Bonus'!$A$4:$A$15</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December</c:v>
                </c:pt>
              </c:strCache>
            </c:strRef>
          </c:cat>
          <c:val>
            <c:numRef>
              <c:f>'Annual salary Vs Bonus'!$B$4:$B$15</c:f>
              <c:numCache>
                <c:formatCode>"$"#,##0_);[Red]\("$"#,##0\)</c:formatCode>
                <c:ptCount val="11"/>
                <c:pt idx="0">
                  <c:v>393533</c:v>
                </c:pt>
                <c:pt idx="1">
                  <c:v>355489</c:v>
                </c:pt>
                <c:pt idx="2">
                  <c:v>817286</c:v>
                </c:pt>
                <c:pt idx="3">
                  <c:v>445546</c:v>
                </c:pt>
                <c:pt idx="4">
                  <c:v>837381</c:v>
                </c:pt>
                <c:pt idx="5">
                  <c:v>524951</c:v>
                </c:pt>
                <c:pt idx="6">
                  <c:v>352598</c:v>
                </c:pt>
                <c:pt idx="7">
                  <c:v>361210</c:v>
                </c:pt>
                <c:pt idx="8">
                  <c:v>600846</c:v>
                </c:pt>
                <c:pt idx="9">
                  <c:v>940897</c:v>
                </c:pt>
                <c:pt idx="10">
                  <c:v>354171</c:v>
                </c:pt>
              </c:numCache>
            </c:numRef>
          </c:val>
          <c:extLst>
            <c:ext xmlns:c16="http://schemas.microsoft.com/office/drawing/2014/chart" uri="{C3380CC4-5D6E-409C-BE32-E72D297353CC}">
              <c16:uniqueId val="{00000000-2DEE-451F-9EC1-85228A51DF8F}"/>
            </c:ext>
          </c:extLst>
        </c:ser>
        <c:ser>
          <c:idx val="1"/>
          <c:order val="1"/>
          <c:tx>
            <c:strRef>
              <c:f>'Annual salary Vs Bonus'!$C$3</c:f>
              <c:strCache>
                <c:ptCount val="1"/>
                <c:pt idx="0">
                  <c:v>Sum of Bonus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'Annual salary Vs Bonus'!$A$4:$A$15</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December</c:v>
                </c:pt>
              </c:strCache>
            </c:strRef>
          </c:cat>
          <c:val>
            <c:numRef>
              <c:f>'Annual salary Vs Bonus'!$C$4:$C$15</c:f>
              <c:numCache>
                <c:formatCode>0%</c:formatCode>
                <c:ptCount val="11"/>
                <c:pt idx="0">
                  <c:v>0.16</c:v>
                </c:pt>
                <c:pt idx="1">
                  <c:v>0.15</c:v>
                </c:pt>
                <c:pt idx="2">
                  <c:v>0.95000000000000018</c:v>
                </c:pt>
                <c:pt idx="3">
                  <c:v>0.59</c:v>
                </c:pt>
                <c:pt idx="4">
                  <c:v>0.7400000000000001</c:v>
                </c:pt>
                <c:pt idx="5">
                  <c:v>0.41000000000000003</c:v>
                </c:pt>
                <c:pt idx="6">
                  <c:v>0.28000000000000003</c:v>
                </c:pt>
                <c:pt idx="7">
                  <c:v>0.27</c:v>
                </c:pt>
                <c:pt idx="8">
                  <c:v>0.5</c:v>
                </c:pt>
                <c:pt idx="9">
                  <c:v>0.61</c:v>
                </c:pt>
                <c:pt idx="10">
                  <c:v>0.25</c:v>
                </c:pt>
              </c:numCache>
            </c:numRef>
          </c:val>
          <c:extLst>
            <c:ext xmlns:c16="http://schemas.microsoft.com/office/drawing/2014/chart" uri="{C3380CC4-5D6E-409C-BE32-E72D297353CC}">
              <c16:uniqueId val="{00000001-2DEE-451F-9EC1-85228A51DF8F}"/>
            </c:ext>
          </c:extLst>
        </c:ser>
        <c:dLbls>
          <c:showLegendKey val="0"/>
          <c:showVal val="0"/>
          <c:showCatName val="0"/>
          <c:showSerName val="0"/>
          <c:showPercent val="0"/>
          <c:showBubbleSize val="0"/>
        </c:dLbls>
        <c:gapWidth val="100"/>
        <c:axId val="2041071600"/>
        <c:axId val="2041072080"/>
      </c:barChart>
      <c:catAx>
        <c:axId val="2041071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072080"/>
        <c:crosses val="autoZero"/>
        <c:auto val="1"/>
        <c:lblAlgn val="ctr"/>
        <c:lblOffset val="100"/>
        <c:noMultiLvlLbl val="0"/>
      </c:catAx>
      <c:valAx>
        <c:axId val="2041072080"/>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07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Dashboard.xlsx]Male Vs Female!PivotTable2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Male</a:t>
            </a:r>
            <a:r>
              <a:rPr lang="en-US" sz="1200" baseline="0"/>
              <a:t> Vs Female</a:t>
            </a:r>
            <a:endParaRPr lang="en-US" sz="1200"/>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'Male Vs Female'!$B$3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28-4278-900A-9C37E20085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28-4278-900A-9C37E2008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'Male Vs Female'!$A$4:$A$6</c:f>
              <c:strCache>
                <c:ptCount val="2"/>
                <c:pt idx="0">
                  <c:v>Female</c:v>
                </c:pt>
                <c:pt idx="1">
                  <c:v>Male</c:v>
                </c:pt>
              </c:strCache>
            </c:strRef>
          </c:cat>
          <c:val>
            <c:numRef>
              <c:f>'Male Vs Female'!$B$4:$B$6</c:f>
              <c:numCache>
                <c:formatCode>"$"#,##0_);[Red]\("$"#,##0\)</c:formatCode>
                <c:ptCount val="2"/>
                <c:pt idx="0">
                  <c:v>2643781</c:v>
                </c:pt>
                <c:pt idx="1">
                  <c:v>3340127</c:v>
                </c:pt>
              </c:numCache>
            </c:numRef>
          </c:val>
          <c:extLst>
            <c:ext xmlns:c16="http://schemas.microsoft.com/office/drawing/2014/chart" uri="{C3380CC4-5D6E-409C-BE32-E72D297353CC}">
              <c16:uniqueId val="{00000000-C3F4-44BC-AE23-FB8D9750658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Dashboard.xlsx]City!PivotTable3</c:name>
    <c:fmtId val="0"/>
  </c:pivotSource>
  <c:chart>
    <c:title>
      <c:tx>
        <c:rich>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City</a:t>
            </a:r>
          </a:p>
        </c:rich>
      </c:tx>
      <c:overlay val="0"/>
      <c:spPr>
        <a:solidFill>
          <a:schemeClr val="accent2"/>
        </a:solidFill>
        <a:ln>
          <a:noFill/>
        </a:ln>
        <a:effectLst/>
      </c:spPr>
      <c:txPr>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City!$A$4:$A$16</c:f>
              <c:strCache>
                <c:ptCount val="12"/>
                <c:pt idx="0">
                  <c:v>Austin</c:v>
                </c:pt>
                <c:pt idx="1">
                  <c:v>Beijing</c:v>
                </c:pt>
                <c:pt idx="2">
                  <c:v>Chengdu</c:v>
                </c:pt>
                <c:pt idx="3">
                  <c:v>Chicago</c:v>
                </c:pt>
                <c:pt idx="4">
                  <c:v>Chongqing</c:v>
                </c:pt>
                <c:pt idx="5">
                  <c:v>Columbus</c:v>
                </c:pt>
                <c:pt idx="6">
                  <c:v>Manaus</c:v>
                </c:pt>
                <c:pt idx="7">
                  <c:v>Miami</c:v>
                </c:pt>
                <c:pt idx="8">
                  <c:v>Phoenix</c:v>
                </c:pt>
                <c:pt idx="9">
                  <c:v>Rio de Janerio</c:v>
                </c:pt>
                <c:pt idx="10">
                  <c:v>Seattle</c:v>
                </c:pt>
                <c:pt idx="11">
                  <c:v>Shanghai</c:v>
                </c:pt>
              </c:strCache>
            </c:strRef>
          </c:cat>
          <c:val>
            <c:numRef>
              <c:f>City!$B$4:$B$16</c:f>
              <c:numCache>
                <c:formatCode>"$"#,##0_);[Red]\("$"#,##0\)</c:formatCode>
                <c:ptCount val="12"/>
                <c:pt idx="0">
                  <c:v>608322</c:v>
                </c:pt>
                <c:pt idx="1">
                  <c:v>330495</c:v>
                </c:pt>
                <c:pt idx="2">
                  <c:v>186306</c:v>
                </c:pt>
                <c:pt idx="3">
                  <c:v>374226</c:v>
                </c:pt>
                <c:pt idx="4">
                  <c:v>583572</c:v>
                </c:pt>
                <c:pt idx="5">
                  <c:v>393517</c:v>
                </c:pt>
                <c:pt idx="6">
                  <c:v>284511</c:v>
                </c:pt>
                <c:pt idx="7">
                  <c:v>429312</c:v>
                </c:pt>
                <c:pt idx="8">
                  <c:v>841238</c:v>
                </c:pt>
                <c:pt idx="9">
                  <c:v>271368</c:v>
                </c:pt>
                <c:pt idx="10">
                  <c:v>1478262</c:v>
                </c:pt>
                <c:pt idx="11">
                  <c:v>202779</c:v>
                </c:pt>
              </c:numCache>
            </c:numRef>
          </c:val>
          <c:extLst>
            <c:ext xmlns:c16="http://schemas.microsoft.com/office/drawing/2014/chart" uri="{C3380CC4-5D6E-409C-BE32-E72D297353CC}">
              <c16:uniqueId val="{00000000-EBF5-4428-A309-03402D525A5D}"/>
            </c:ext>
          </c:extLst>
        </c:ser>
        <c:dLbls>
          <c:showLegendKey val="0"/>
          <c:showVal val="0"/>
          <c:showCatName val="0"/>
          <c:showSerName val="0"/>
          <c:showPercent val="0"/>
          <c:showBubbleSize val="0"/>
        </c:dLbls>
        <c:gapWidth val="115"/>
        <c:overlap val="-20"/>
        <c:axId val="50927696"/>
        <c:axId val="50920496"/>
      </c:barChart>
      <c:catAx>
        <c:axId val="50927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20496"/>
        <c:crosses val="autoZero"/>
        <c:auto val="1"/>
        <c:lblAlgn val="ctr"/>
        <c:lblOffset val="100"/>
        <c:noMultiLvlLbl val="0"/>
      </c:catAx>
      <c:valAx>
        <c:axId val="50920496"/>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Dashboard.xlsx]Department Vs Gender!PivotTable4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 Vs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28-48D3-9259-8CFE9C621D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28-48D3-9259-8CFE9C621D9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328-48D3-9259-8CFE9C621D9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28-48D3-9259-8CFE9C621D9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328-48D3-9259-8CFE9C621D9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328-48D3-9259-8CFE9C621D9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328-48D3-9259-8CFE9C621D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Vs Gender'!$A$4:$A$11</c:f>
              <c:strCache>
                <c:ptCount val="7"/>
                <c:pt idx="0">
                  <c:v>Accounting</c:v>
                </c:pt>
                <c:pt idx="1">
                  <c:v>Engineering</c:v>
                </c:pt>
                <c:pt idx="2">
                  <c:v>Finance</c:v>
                </c:pt>
                <c:pt idx="3">
                  <c:v>Human Resources</c:v>
                </c:pt>
                <c:pt idx="4">
                  <c:v>IT</c:v>
                </c:pt>
                <c:pt idx="5">
                  <c:v>Marketing</c:v>
                </c:pt>
                <c:pt idx="6">
                  <c:v>Sales</c:v>
                </c:pt>
              </c:strCache>
            </c:strRef>
          </c:cat>
          <c:val>
            <c:numRef>
              <c:f>'Department Vs Gender'!$B$4:$B$11</c:f>
              <c:numCache>
                <c:formatCode>General</c:formatCode>
                <c:ptCount val="7"/>
                <c:pt idx="0">
                  <c:v>2</c:v>
                </c:pt>
                <c:pt idx="1">
                  <c:v>6</c:v>
                </c:pt>
                <c:pt idx="2">
                  <c:v>8</c:v>
                </c:pt>
                <c:pt idx="3">
                  <c:v>4</c:v>
                </c:pt>
                <c:pt idx="4">
                  <c:v>16</c:v>
                </c:pt>
                <c:pt idx="5">
                  <c:v>5</c:v>
                </c:pt>
                <c:pt idx="6">
                  <c:v>8</c:v>
                </c:pt>
              </c:numCache>
            </c:numRef>
          </c:val>
          <c:extLst>
            <c:ext xmlns:c16="http://schemas.microsoft.com/office/drawing/2014/chart" uri="{C3380CC4-5D6E-409C-BE32-E72D297353CC}">
              <c16:uniqueId val="{00000000-A6C1-44AE-9079-D4D45499AF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Dashboard.xlsx]Annual salary Vs Bonus!PivotTable1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Salary Vs Bonus</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'Annual salary Vs Bonus'!$B$3</c:f>
              <c:strCache>
                <c:ptCount val="1"/>
                <c:pt idx="0">
                  <c:v>Sum of Annual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'Annual salary Vs Bonus'!$A$4:$A$15</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December</c:v>
                </c:pt>
              </c:strCache>
            </c:strRef>
          </c:cat>
          <c:val>
            <c:numRef>
              <c:f>'Annual salary Vs Bonus'!$B$4:$B$15</c:f>
              <c:numCache>
                <c:formatCode>"$"#,##0_);[Red]\("$"#,##0\)</c:formatCode>
                <c:ptCount val="11"/>
                <c:pt idx="0">
                  <c:v>393533</c:v>
                </c:pt>
                <c:pt idx="1">
                  <c:v>355489</c:v>
                </c:pt>
                <c:pt idx="2">
                  <c:v>817286</c:v>
                </c:pt>
                <c:pt idx="3">
                  <c:v>445546</c:v>
                </c:pt>
                <c:pt idx="4">
                  <c:v>837381</c:v>
                </c:pt>
                <c:pt idx="5">
                  <c:v>524951</c:v>
                </c:pt>
                <c:pt idx="6">
                  <c:v>352598</c:v>
                </c:pt>
                <c:pt idx="7">
                  <c:v>361210</c:v>
                </c:pt>
                <c:pt idx="8">
                  <c:v>600846</c:v>
                </c:pt>
                <c:pt idx="9">
                  <c:v>940897</c:v>
                </c:pt>
                <c:pt idx="10">
                  <c:v>354171</c:v>
                </c:pt>
              </c:numCache>
            </c:numRef>
          </c:val>
          <c:extLst>
            <c:ext xmlns:c16="http://schemas.microsoft.com/office/drawing/2014/chart" uri="{C3380CC4-5D6E-409C-BE32-E72D297353CC}">
              <c16:uniqueId val="{00000000-2E94-498B-92A4-782AA1B5072D}"/>
            </c:ext>
          </c:extLst>
        </c:ser>
        <c:ser>
          <c:idx val="1"/>
          <c:order val="1"/>
          <c:tx>
            <c:strRef>
              <c:f>'Annual salary Vs Bonus'!$C$3</c:f>
              <c:strCache>
                <c:ptCount val="1"/>
                <c:pt idx="0">
                  <c:v>Sum of Bonus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'Annual salary Vs Bonus'!$A$4:$A$15</c:f>
              <c:strCache>
                <c:ptCount val="11"/>
                <c:pt idx="0">
                  <c:v>January</c:v>
                </c:pt>
                <c:pt idx="1">
                  <c:v>February</c:v>
                </c:pt>
                <c:pt idx="2">
                  <c:v>March</c:v>
                </c:pt>
                <c:pt idx="3">
                  <c:v>April</c:v>
                </c:pt>
                <c:pt idx="4">
                  <c:v>May</c:v>
                </c:pt>
                <c:pt idx="5">
                  <c:v>June</c:v>
                </c:pt>
                <c:pt idx="6">
                  <c:v>July</c:v>
                </c:pt>
                <c:pt idx="7">
                  <c:v>September</c:v>
                </c:pt>
                <c:pt idx="8">
                  <c:v>October</c:v>
                </c:pt>
                <c:pt idx="9">
                  <c:v>November</c:v>
                </c:pt>
                <c:pt idx="10">
                  <c:v>December</c:v>
                </c:pt>
              </c:strCache>
            </c:strRef>
          </c:cat>
          <c:val>
            <c:numRef>
              <c:f>'Annual salary Vs Bonus'!$C$4:$C$15</c:f>
              <c:numCache>
                <c:formatCode>0%</c:formatCode>
                <c:ptCount val="11"/>
                <c:pt idx="0">
                  <c:v>0.16</c:v>
                </c:pt>
                <c:pt idx="1">
                  <c:v>0.15</c:v>
                </c:pt>
                <c:pt idx="2">
                  <c:v>0.95000000000000018</c:v>
                </c:pt>
                <c:pt idx="3">
                  <c:v>0.59</c:v>
                </c:pt>
                <c:pt idx="4">
                  <c:v>0.7400000000000001</c:v>
                </c:pt>
                <c:pt idx="5">
                  <c:v>0.41000000000000003</c:v>
                </c:pt>
                <c:pt idx="6">
                  <c:v>0.28000000000000003</c:v>
                </c:pt>
                <c:pt idx="7">
                  <c:v>0.27</c:v>
                </c:pt>
                <c:pt idx="8">
                  <c:v>0.5</c:v>
                </c:pt>
                <c:pt idx="9">
                  <c:v>0.61</c:v>
                </c:pt>
                <c:pt idx="10">
                  <c:v>0.25</c:v>
                </c:pt>
              </c:numCache>
            </c:numRef>
          </c:val>
          <c:extLst>
            <c:ext xmlns:c16="http://schemas.microsoft.com/office/drawing/2014/chart" uri="{C3380CC4-5D6E-409C-BE32-E72D297353CC}">
              <c16:uniqueId val="{00000001-2E94-498B-92A4-782AA1B5072D}"/>
            </c:ext>
          </c:extLst>
        </c:ser>
        <c:dLbls>
          <c:showLegendKey val="0"/>
          <c:showVal val="0"/>
          <c:showCatName val="0"/>
          <c:showSerName val="0"/>
          <c:showPercent val="0"/>
          <c:showBubbleSize val="0"/>
        </c:dLbls>
        <c:gapWidth val="100"/>
        <c:axId val="2041071600"/>
        <c:axId val="2041072080"/>
      </c:barChart>
      <c:catAx>
        <c:axId val="2041071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072080"/>
        <c:crosses val="autoZero"/>
        <c:auto val="1"/>
        <c:lblAlgn val="ctr"/>
        <c:lblOffset val="100"/>
        <c:noMultiLvlLbl val="0"/>
      </c:catAx>
      <c:valAx>
        <c:axId val="2041072080"/>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07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Dashboard.xlsx]Male Vs Female!PivotTable2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Male</a:t>
            </a:r>
            <a:r>
              <a:rPr lang="en-US" sz="1200" baseline="0"/>
              <a:t> Vs Female</a:t>
            </a:r>
            <a:endParaRPr lang="en-US" sz="1200"/>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'Male Vs Female'!$B$3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CA-4107-83EC-4420C8D25D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CA-4107-83EC-4420C8D25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'Male Vs Female'!$A$4:$A$6</c:f>
              <c:strCache>
                <c:ptCount val="2"/>
                <c:pt idx="0">
                  <c:v>Female</c:v>
                </c:pt>
                <c:pt idx="1">
                  <c:v>Male</c:v>
                </c:pt>
              </c:strCache>
            </c:strRef>
          </c:cat>
          <c:val>
            <c:numRef>
              <c:f>'Male Vs Female'!$B$4:$B$6</c:f>
              <c:numCache>
                <c:formatCode>"$"#,##0_);[Red]\("$"#,##0\)</c:formatCode>
                <c:ptCount val="2"/>
                <c:pt idx="0">
                  <c:v>2643781</c:v>
                </c:pt>
                <c:pt idx="1">
                  <c:v>3340127</c:v>
                </c:pt>
              </c:numCache>
            </c:numRef>
          </c:val>
          <c:extLst>
            <c:ext xmlns:c16="http://schemas.microsoft.com/office/drawing/2014/chart" uri="{C3380CC4-5D6E-409C-BE32-E72D297353CC}">
              <c16:uniqueId val="{00000004-80CA-4107-83EC-4420C8D25D6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Dashboard.xlsx]City!PivotTable3</c:name>
    <c:fmtId val="3"/>
  </c:pivotSource>
  <c:chart>
    <c:title>
      <c:tx>
        <c:rich>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City</a:t>
            </a:r>
          </a:p>
        </c:rich>
      </c:tx>
      <c:overlay val="0"/>
      <c:spPr>
        <a:solidFill>
          <a:schemeClr val="accent2"/>
        </a:solidFill>
        <a:ln>
          <a:noFill/>
        </a:ln>
        <a:effectLst/>
      </c:spPr>
      <c:txPr>
        <a:bodyPr rot="0" spcFirstLastPara="1" vertOverflow="ellipsis" vert="horz" wrap="square" anchor="ctr" anchorCtr="1"/>
        <a:lstStyle/>
        <a:p>
          <a:pPr>
            <a:defRPr sz="13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City!$A$4:$A$16</c:f>
              <c:strCache>
                <c:ptCount val="12"/>
                <c:pt idx="0">
                  <c:v>Austin</c:v>
                </c:pt>
                <c:pt idx="1">
                  <c:v>Beijing</c:v>
                </c:pt>
                <c:pt idx="2">
                  <c:v>Chengdu</c:v>
                </c:pt>
                <c:pt idx="3">
                  <c:v>Chicago</c:v>
                </c:pt>
                <c:pt idx="4">
                  <c:v>Chongqing</c:v>
                </c:pt>
                <c:pt idx="5">
                  <c:v>Columbus</c:v>
                </c:pt>
                <c:pt idx="6">
                  <c:v>Manaus</c:v>
                </c:pt>
                <c:pt idx="7">
                  <c:v>Miami</c:v>
                </c:pt>
                <c:pt idx="8">
                  <c:v>Phoenix</c:v>
                </c:pt>
                <c:pt idx="9">
                  <c:v>Rio de Janerio</c:v>
                </c:pt>
                <c:pt idx="10">
                  <c:v>Seattle</c:v>
                </c:pt>
                <c:pt idx="11">
                  <c:v>Shanghai</c:v>
                </c:pt>
              </c:strCache>
            </c:strRef>
          </c:cat>
          <c:val>
            <c:numRef>
              <c:f>City!$B$4:$B$16</c:f>
              <c:numCache>
                <c:formatCode>"$"#,##0_);[Red]\("$"#,##0\)</c:formatCode>
                <c:ptCount val="12"/>
                <c:pt idx="0">
                  <c:v>608322</c:v>
                </c:pt>
                <c:pt idx="1">
                  <c:v>330495</c:v>
                </c:pt>
                <c:pt idx="2">
                  <c:v>186306</c:v>
                </c:pt>
                <c:pt idx="3">
                  <c:v>374226</c:v>
                </c:pt>
                <c:pt idx="4">
                  <c:v>583572</c:v>
                </c:pt>
                <c:pt idx="5">
                  <c:v>393517</c:v>
                </c:pt>
                <c:pt idx="6">
                  <c:v>284511</c:v>
                </c:pt>
                <c:pt idx="7">
                  <c:v>429312</c:v>
                </c:pt>
                <c:pt idx="8">
                  <c:v>841238</c:v>
                </c:pt>
                <c:pt idx="9">
                  <c:v>271368</c:v>
                </c:pt>
                <c:pt idx="10">
                  <c:v>1478262</c:v>
                </c:pt>
                <c:pt idx="11">
                  <c:v>202779</c:v>
                </c:pt>
              </c:numCache>
            </c:numRef>
          </c:val>
          <c:extLst>
            <c:ext xmlns:c16="http://schemas.microsoft.com/office/drawing/2014/chart" uri="{C3380CC4-5D6E-409C-BE32-E72D297353CC}">
              <c16:uniqueId val="{00000000-5C01-42F9-B107-471AE60B4D80}"/>
            </c:ext>
          </c:extLst>
        </c:ser>
        <c:dLbls>
          <c:showLegendKey val="0"/>
          <c:showVal val="0"/>
          <c:showCatName val="0"/>
          <c:showSerName val="0"/>
          <c:showPercent val="0"/>
          <c:showBubbleSize val="0"/>
        </c:dLbls>
        <c:gapWidth val="115"/>
        <c:overlap val="-20"/>
        <c:axId val="50927696"/>
        <c:axId val="50920496"/>
      </c:barChart>
      <c:catAx>
        <c:axId val="50927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20496"/>
        <c:crosses val="autoZero"/>
        <c:auto val="1"/>
        <c:lblAlgn val="ctr"/>
        <c:lblOffset val="100"/>
        <c:noMultiLvlLbl val="0"/>
      </c:catAx>
      <c:valAx>
        <c:axId val="50920496"/>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Dashboard.xlsx]Department Vs Gender!PivotTable4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Dept Vs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BC-4CE7-A5C5-DBC13DB577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BC-4CE7-A5C5-DBC13DB577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BC-4CE7-A5C5-DBC13DB577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2BC-4CE7-A5C5-DBC13DB577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2BC-4CE7-A5C5-DBC13DB577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2BC-4CE7-A5C5-DBC13DB577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2BC-4CE7-A5C5-DBC13DB57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Vs Gender'!$A$4:$A$11</c:f>
              <c:strCache>
                <c:ptCount val="7"/>
                <c:pt idx="0">
                  <c:v>Accounting</c:v>
                </c:pt>
                <c:pt idx="1">
                  <c:v>Engineering</c:v>
                </c:pt>
                <c:pt idx="2">
                  <c:v>Finance</c:v>
                </c:pt>
                <c:pt idx="3">
                  <c:v>Human Resources</c:v>
                </c:pt>
                <c:pt idx="4">
                  <c:v>IT</c:v>
                </c:pt>
                <c:pt idx="5">
                  <c:v>Marketing</c:v>
                </c:pt>
                <c:pt idx="6">
                  <c:v>Sales</c:v>
                </c:pt>
              </c:strCache>
            </c:strRef>
          </c:cat>
          <c:val>
            <c:numRef>
              <c:f>'Department Vs Gender'!$B$4:$B$11</c:f>
              <c:numCache>
                <c:formatCode>General</c:formatCode>
                <c:ptCount val="7"/>
                <c:pt idx="0">
                  <c:v>2</c:v>
                </c:pt>
                <c:pt idx="1">
                  <c:v>6</c:v>
                </c:pt>
                <c:pt idx="2">
                  <c:v>8</c:v>
                </c:pt>
                <c:pt idx="3">
                  <c:v>4</c:v>
                </c:pt>
                <c:pt idx="4">
                  <c:v>16</c:v>
                </c:pt>
                <c:pt idx="5">
                  <c:v>5</c:v>
                </c:pt>
                <c:pt idx="6">
                  <c:v>8</c:v>
                </c:pt>
              </c:numCache>
            </c:numRef>
          </c:val>
          <c:extLst>
            <c:ext xmlns:c16="http://schemas.microsoft.com/office/drawing/2014/chart" uri="{C3380CC4-5D6E-409C-BE32-E72D297353CC}">
              <c16:uniqueId val="{0000000E-52BC-4CE7-A5C5-DBC13DB577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38100</xdr:rowOff>
    </xdr:from>
    <xdr:to>
      <xdr:col>9</xdr:col>
      <xdr:colOff>502920</xdr:colOff>
      <xdr:row>15</xdr:row>
      <xdr:rowOff>175260</xdr:rowOff>
    </xdr:to>
    <xdr:graphicFrame macro="">
      <xdr:nvGraphicFramePr>
        <xdr:cNvPr id="2" name="Chart 1">
          <a:extLst>
            <a:ext uri="{FF2B5EF4-FFF2-40B4-BE49-F238E27FC236}">
              <a16:creationId xmlns:a16="http://schemas.microsoft.com/office/drawing/2014/main" id="{24270C51-3C02-4C7E-9772-C1DEE5BF8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3</xdr:row>
      <xdr:rowOff>30480</xdr:rowOff>
    </xdr:from>
    <xdr:to>
      <xdr:col>7</xdr:col>
      <xdr:colOff>594360</xdr:colOff>
      <xdr:row>16</xdr:row>
      <xdr:rowOff>144780</xdr:rowOff>
    </xdr:to>
    <xdr:graphicFrame macro="">
      <xdr:nvGraphicFramePr>
        <xdr:cNvPr id="2" name="Chart 1">
          <a:extLst>
            <a:ext uri="{FF2B5EF4-FFF2-40B4-BE49-F238E27FC236}">
              <a16:creationId xmlns:a16="http://schemas.microsoft.com/office/drawing/2014/main" id="{1B1CE0AA-AD6C-F1E3-3B54-6077215BD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152400</xdr:colOff>
      <xdr:row>2</xdr:row>
      <xdr:rowOff>64770</xdr:rowOff>
    </xdr:from>
    <xdr:to>
      <xdr:col>9</xdr:col>
      <xdr:colOff>243840</xdr:colOff>
      <xdr:row>17</xdr:row>
      <xdr:rowOff>64770</xdr:rowOff>
    </xdr:to>
    <xdr:graphicFrame macro="">
      <xdr:nvGraphicFramePr>
        <xdr:cNvPr id="2" name="Chart 1">
          <a:extLst>
            <a:ext uri="{FF2B5EF4-FFF2-40B4-BE49-F238E27FC236}">
              <a16:creationId xmlns:a16="http://schemas.microsoft.com/office/drawing/2014/main" id="{F41A55D2-3BCB-C28A-E50D-0E84F1FBB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152400</xdr:colOff>
      <xdr:row>3</xdr:row>
      <xdr:rowOff>7620</xdr:rowOff>
    </xdr:from>
    <xdr:to>
      <xdr:col>13</xdr:col>
      <xdr:colOff>152400</xdr:colOff>
      <xdr:row>16</xdr:row>
      <xdr:rowOff>97155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8093A4D6-BE54-B2F9-871D-EF6E2904885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20852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144780</xdr:colOff>
      <xdr:row>1</xdr:row>
      <xdr:rowOff>87630</xdr:rowOff>
    </xdr:from>
    <xdr:to>
      <xdr:col>9</xdr:col>
      <xdr:colOff>350520</xdr:colOff>
      <xdr:row>16</xdr:row>
      <xdr:rowOff>0</xdr:rowOff>
    </xdr:to>
    <xdr:graphicFrame macro="">
      <xdr:nvGraphicFramePr>
        <xdr:cNvPr id="2" name="Chart 1">
          <a:extLst>
            <a:ext uri="{FF2B5EF4-FFF2-40B4-BE49-F238E27FC236}">
              <a16:creationId xmlns:a16="http://schemas.microsoft.com/office/drawing/2014/main" id="{3F6545F5-A2F7-4BBC-2702-E3B56F078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1</xdr:row>
      <xdr:rowOff>137160</xdr:rowOff>
    </xdr:from>
    <xdr:to>
      <xdr:col>13</xdr:col>
      <xdr:colOff>99060</xdr:colOff>
      <xdr:row>15</xdr:row>
      <xdr:rowOff>43815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BCB8FF73-12C2-0903-7E13-3F67AA5BC8D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078980" y="320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297180</xdr:colOff>
      <xdr:row>17</xdr:row>
      <xdr:rowOff>45720</xdr:rowOff>
    </xdr:from>
    <xdr:to>
      <xdr:col>11</xdr:col>
      <xdr:colOff>586740</xdr:colOff>
      <xdr:row>24</xdr:row>
      <xdr:rowOff>137160</xdr:rowOff>
    </xdr:to>
    <mc:AlternateContent xmlns:mc="http://schemas.openxmlformats.org/markup-compatibility/2006" xmlns:tsle="http://schemas.microsoft.com/office/drawing/2012/timeslicer">
      <mc:Choice Requires="tsle">
        <xdr:graphicFrame macro="">
          <xdr:nvGraphicFramePr>
            <xdr:cNvPr id="4" name="Hire Date">
              <a:extLst>
                <a:ext uri="{FF2B5EF4-FFF2-40B4-BE49-F238E27FC236}">
                  <a16:creationId xmlns:a16="http://schemas.microsoft.com/office/drawing/2014/main" id="{0325833E-4BA8-C1B2-1A69-21069843D98E}"/>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4838700" y="3154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198120</xdr:colOff>
      <xdr:row>15</xdr:row>
      <xdr:rowOff>137160</xdr:rowOff>
    </xdr:to>
    <xdr:graphicFrame macro="">
      <xdr:nvGraphicFramePr>
        <xdr:cNvPr id="2" name="Chart 1">
          <a:extLst>
            <a:ext uri="{FF2B5EF4-FFF2-40B4-BE49-F238E27FC236}">
              <a16:creationId xmlns:a16="http://schemas.microsoft.com/office/drawing/2014/main" id="{655DED50-07D9-404F-9C54-D21302102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137160</xdr:rowOff>
    </xdr:from>
    <xdr:to>
      <xdr:col>6</xdr:col>
      <xdr:colOff>83820</xdr:colOff>
      <xdr:row>30</xdr:row>
      <xdr:rowOff>22860</xdr:rowOff>
    </xdr:to>
    <xdr:graphicFrame macro="">
      <xdr:nvGraphicFramePr>
        <xdr:cNvPr id="5" name="Chart 4">
          <a:extLst>
            <a:ext uri="{FF2B5EF4-FFF2-40B4-BE49-F238E27FC236}">
              <a16:creationId xmlns:a16="http://schemas.microsoft.com/office/drawing/2014/main" id="{31F674BA-3848-44CD-A37E-1F80C1568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198120</xdr:colOff>
      <xdr:row>1</xdr:row>
      <xdr:rowOff>7620</xdr:rowOff>
    </xdr:from>
    <xdr:to>
      <xdr:col>13</xdr:col>
      <xdr:colOff>289560</xdr:colOff>
      <xdr:row>15</xdr:row>
      <xdr:rowOff>137160</xdr:rowOff>
    </xdr:to>
    <xdr:graphicFrame macro="">
      <xdr:nvGraphicFramePr>
        <xdr:cNvPr id="6" name="Chart 5">
          <a:extLst>
            <a:ext uri="{FF2B5EF4-FFF2-40B4-BE49-F238E27FC236}">
              <a16:creationId xmlns:a16="http://schemas.microsoft.com/office/drawing/2014/main" id="{48A2BF3B-CB83-4BBE-8EFB-8B7760F1D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15</xdr:row>
      <xdr:rowOff>137160</xdr:rowOff>
    </xdr:from>
    <xdr:to>
      <xdr:col>13</xdr:col>
      <xdr:colOff>281940</xdr:colOff>
      <xdr:row>30</xdr:row>
      <xdr:rowOff>45720</xdr:rowOff>
    </xdr:to>
    <xdr:graphicFrame macro="">
      <xdr:nvGraphicFramePr>
        <xdr:cNvPr id="7" name="Chart 6">
          <a:extLst>
            <a:ext uri="{FF2B5EF4-FFF2-40B4-BE49-F238E27FC236}">
              <a16:creationId xmlns:a16="http://schemas.microsoft.com/office/drawing/2014/main" id="{262C4828-6D98-403F-AA8D-10FC81F0D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350520</xdr:colOff>
      <xdr:row>1</xdr:row>
      <xdr:rowOff>60960</xdr:rowOff>
    </xdr:from>
    <xdr:to>
      <xdr:col>16</xdr:col>
      <xdr:colOff>350520</xdr:colOff>
      <xdr:row>14</xdr:row>
      <xdr:rowOff>150495</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644B2296-D6CD-42C4-9CAD-93EFBB70BBA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27532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396240</xdr:colOff>
      <xdr:row>1</xdr:row>
      <xdr:rowOff>45720</xdr:rowOff>
    </xdr:from>
    <xdr:to>
      <xdr:col>19</xdr:col>
      <xdr:colOff>396240</xdr:colOff>
      <xdr:row>14</xdr:row>
      <xdr:rowOff>135255</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A403DDB6-C01C-4B77-A947-77C1119240D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149840" y="342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15</xdr:row>
      <xdr:rowOff>60960</xdr:rowOff>
    </xdr:from>
    <xdr:to>
      <xdr:col>19</xdr:col>
      <xdr:colOff>144780</xdr:colOff>
      <xdr:row>22</xdr:row>
      <xdr:rowOff>152400</xdr:rowOff>
    </xdr:to>
    <mc:AlternateContent xmlns:mc="http://schemas.openxmlformats.org/markup-compatibility/2006" xmlns:tsle="http://schemas.microsoft.com/office/drawing/2012/timeslicer">
      <mc:Choice Requires="tsle">
        <xdr:graphicFrame macro="">
          <xdr:nvGraphicFramePr>
            <xdr:cNvPr id="10" name="Hire Date 1">
              <a:extLst>
                <a:ext uri="{FF2B5EF4-FFF2-40B4-BE49-F238E27FC236}">
                  <a16:creationId xmlns:a16="http://schemas.microsoft.com/office/drawing/2014/main" id="{B10CF0D7-4442-46AF-B62B-519FC542D9F6}"/>
                </a:ext>
              </a:extLst>
            </xdr:cNvPr>
            <xdr:cNvGraphicFramePr/>
          </xdr:nvGraphicFramePr>
          <xdr:xfrm>
            <a:off x="0" y="0"/>
            <a:ext cx="0" cy="0"/>
          </xdr:xfrm>
          <a:graphic>
            <a:graphicData uri="http://schemas.microsoft.com/office/drawing/2012/timeslicer">
              <tsle:timeslicer name="Hire Date 1"/>
            </a:graphicData>
          </a:graphic>
        </xdr:graphicFrame>
      </mc:Choice>
      <mc:Fallback xmlns="">
        <xdr:sp macro="" textlink="">
          <xdr:nvSpPr>
            <xdr:cNvPr id="0" name=""/>
            <xdr:cNvSpPr>
              <a:spLocks noTextEdit="1"/>
            </xdr:cNvSpPr>
          </xdr:nvSpPr>
          <xdr:spPr>
            <a:xfrm>
              <a:off x="8389620" y="29184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Kashyap" refreshedDate="45650.540113310184" createdVersion="8" refreshedVersion="8" minRefreshableVersion="3" recordCount="49" xr:uid="{08B92361-A854-4DF3-8CBE-D957CBD43480}">
  <cacheSource type="worksheet">
    <worksheetSource ref="A1:N50" sheet="Employee Data"/>
  </cacheSource>
  <cacheFields count="14">
    <cacheField name="EEID" numFmtId="0">
      <sharedItems/>
    </cacheField>
    <cacheField name="Full Name"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ount="29">
        <n v="55"/>
        <n v="59"/>
        <n v="50"/>
        <n v="26"/>
        <n v="57"/>
        <n v="27"/>
        <n v="25"/>
        <n v="29"/>
        <n v="34"/>
        <n v="36"/>
        <n v="51"/>
        <n v="31"/>
        <n v="41"/>
        <n v="65"/>
        <n v="64"/>
        <n v="45"/>
        <n v="56"/>
        <n v="37"/>
        <n v="44"/>
        <n v="43"/>
        <n v="63"/>
        <n v="28"/>
        <n v="61"/>
        <n v="30"/>
        <n v="32"/>
        <n v="35"/>
        <n v="53"/>
        <n v="52"/>
        <n v="40"/>
      </sharedItems>
    </cacheField>
    <cacheField name="Hire Date" numFmtId="14">
      <sharedItems containsSemiMixedTypes="0" containsNonDate="0" containsDate="1" containsString="0" minDate="1994-01-03T00:00:00" maxDate="2021-10-22T00:00:00" count="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sharedItems>
    </cacheField>
    <cacheField name="Month" numFmtId="14">
      <sharedItems containsNonDate="0" count="11">
        <s v="April"/>
        <s v="November"/>
        <s v="October"/>
        <s v="September"/>
        <s v="January"/>
        <s v="July"/>
        <s v="May"/>
        <s v="June"/>
        <s v="February"/>
        <s v="March"/>
        <s v="December"/>
      </sharedItems>
    </cacheField>
    <cacheField name="Annual Salary" numFmtId="6">
      <sharedItems containsSemiMixedTypes="0" containsString="0" containsNumber="1" containsInteger="1" minValue="41336" maxValue="256420"/>
    </cacheField>
    <cacheField name="Bonus %" numFmtId="9">
      <sharedItems containsSemiMixedTypes="0" containsString="0" containsNumber="1" minValue="0" maxValue="0.34"/>
    </cacheField>
    <cacheField name="Country" numFmtId="0">
      <sharedItems/>
    </cacheField>
    <cacheField name="City" numFmtId="0">
      <sharedItems count="12">
        <s v="Seattle"/>
        <s v="Chongqing"/>
        <s v="Chicago"/>
        <s v="Phoenix"/>
        <s v="Miami"/>
        <s v="Austin"/>
        <s v="Shanghai"/>
        <s v="Columbus"/>
        <s v="Manaus"/>
        <s v="Rio de Janerio"/>
        <s v="Beijing"/>
        <s v="Chengdu"/>
      </sharedItems>
    </cacheField>
  </cacheFields>
  <extLst>
    <ext xmlns:x14="http://schemas.microsoft.com/office/spreadsheetml/2009/9/main" uri="{725AE2AE-9491-48be-B2B4-4EB974FC3084}">
      <x14:pivotCacheDefinition pivotCacheId="1673872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E02387"/>
    <s v="Emily Davis"/>
    <s v="Sr. Manger"/>
    <x v="0"/>
    <s v="Research &amp; Development"/>
    <x v="0"/>
    <s v="Black"/>
    <x v="0"/>
    <x v="0"/>
    <x v="0"/>
    <n v="141604"/>
    <n v="0.15"/>
    <s v="United States"/>
    <x v="0"/>
  </r>
  <r>
    <s v="E04105"/>
    <s v="Theodore Dinh"/>
    <s v="Technical Architect"/>
    <x v="0"/>
    <s v="Manufacturing"/>
    <x v="1"/>
    <s v="Asian"/>
    <x v="1"/>
    <x v="1"/>
    <x v="1"/>
    <n v="99975"/>
    <n v="0"/>
    <s v="China"/>
    <x v="1"/>
  </r>
  <r>
    <s v="E02572"/>
    <s v="Luna Sanders"/>
    <s v="Director"/>
    <x v="1"/>
    <s v="Speciality Products"/>
    <x v="0"/>
    <s v="Caucasian"/>
    <x v="2"/>
    <x v="2"/>
    <x v="2"/>
    <n v="163099"/>
    <n v="0.2"/>
    <s v="United States"/>
    <x v="2"/>
  </r>
  <r>
    <s v="E02832"/>
    <s v="Penelope Jordan"/>
    <s v="Computer Systems Manager"/>
    <x v="0"/>
    <s v="Manufacturing"/>
    <x v="0"/>
    <s v="Caucasian"/>
    <x v="3"/>
    <x v="3"/>
    <x v="3"/>
    <n v="84913"/>
    <n v="7.0000000000000007E-2"/>
    <s v="United States"/>
    <x v="2"/>
  </r>
  <r>
    <s v="E01639"/>
    <s v="Austin Vo"/>
    <s v="Sr. Analyst"/>
    <x v="1"/>
    <s v="Manufacturing"/>
    <x v="1"/>
    <s v="Asian"/>
    <x v="0"/>
    <x v="4"/>
    <x v="1"/>
    <n v="95409"/>
    <n v="0"/>
    <s v="United States"/>
    <x v="3"/>
  </r>
  <r>
    <s v="E00644"/>
    <s v="Joshua Gupta"/>
    <s v="Account Representative"/>
    <x v="2"/>
    <s v="Corporate"/>
    <x v="1"/>
    <s v="Asian"/>
    <x v="4"/>
    <x v="5"/>
    <x v="4"/>
    <n v="50994"/>
    <n v="0"/>
    <s v="China"/>
    <x v="1"/>
  </r>
  <r>
    <s v="E01550"/>
    <s v="Ruby Barnes"/>
    <s v="Manager"/>
    <x v="0"/>
    <s v="Corporate"/>
    <x v="0"/>
    <s v="Caucasian"/>
    <x v="5"/>
    <x v="6"/>
    <x v="5"/>
    <n v="119746"/>
    <n v="0.1"/>
    <s v="United States"/>
    <x v="3"/>
  </r>
  <r>
    <s v="E04332"/>
    <s v="Luke Martin"/>
    <s v="Analyst"/>
    <x v="1"/>
    <s v="Manufacturing"/>
    <x v="1"/>
    <s v="Black"/>
    <x v="6"/>
    <x v="7"/>
    <x v="6"/>
    <n v="41336"/>
    <n v="0"/>
    <s v="United States"/>
    <x v="4"/>
  </r>
  <r>
    <s v="E04533"/>
    <s v="Easton Bailey"/>
    <s v="Manager"/>
    <x v="3"/>
    <s v="Manufacturing"/>
    <x v="1"/>
    <s v="Caucasian"/>
    <x v="7"/>
    <x v="8"/>
    <x v="4"/>
    <n v="113527"/>
    <n v="0.06"/>
    <s v="United States"/>
    <x v="5"/>
  </r>
  <r>
    <s v="E03838"/>
    <s v="Madeline Walker"/>
    <s v="Sr. Analyst"/>
    <x v="1"/>
    <s v="Speciality Products"/>
    <x v="0"/>
    <s v="Caucasian"/>
    <x v="8"/>
    <x v="9"/>
    <x v="7"/>
    <n v="77203"/>
    <n v="0"/>
    <s v="United States"/>
    <x v="2"/>
  </r>
  <r>
    <s v="E00591"/>
    <s v="Savannah Ali"/>
    <s v="Sr. Manger"/>
    <x v="4"/>
    <s v="Manufacturing"/>
    <x v="0"/>
    <s v="Asian"/>
    <x v="9"/>
    <x v="10"/>
    <x v="8"/>
    <n v="157333"/>
    <n v="0.15"/>
    <s v="United States"/>
    <x v="4"/>
  </r>
  <r>
    <s v="E03344"/>
    <s v="Camila Rogers"/>
    <s v="Controls Engineer"/>
    <x v="5"/>
    <s v="Speciality Products"/>
    <x v="0"/>
    <s v="Caucasian"/>
    <x v="5"/>
    <x v="11"/>
    <x v="2"/>
    <n v="109851"/>
    <n v="0"/>
    <s v="United States"/>
    <x v="0"/>
  </r>
  <r>
    <s v="E00530"/>
    <s v="Eli Jones"/>
    <s v="Manager"/>
    <x v="4"/>
    <s v="Manufacturing"/>
    <x v="1"/>
    <s v="Caucasian"/>
    <x v="1"/>
    <x v="12"/>
    <x v="9"/>
    <n v="105086"/>
    <n v="0.09"/>
    <s v="United States"/>
    <x v="5"/>
  </r>
  <r>
    <s v="E04239"/>
    <s v="Everleigh Ng"/>
    <s v="Sr. Manger"/>
    <x v="1"/>
    <s v="Research &amp; Development"/>
    <x v="0"/>
    <s v="Asian"/>
    <x v="10"/>
    <x v="13"/>
    <x v="7"/>
    <n v="146742"/>
    <n v="0.1"/>
    <s v="China"/>
    <x v="6"/>
  </r>
  <r>
    <s v="E03496"/>
    <s v="Robert Yang"/>
    <s v="Sr. Analyst"/>
    <x v="3"/>
    <s v="Speciality Products"/>
    <x v="1"/>
    <s v="Asian"/>
    <x v="11"/>
    <x v="14"/>
    <x v="1"/>
    <n v="97078"/>
    <n v="0"/>
    <s v="United States"/>
    <x v="5"/>
  </r>
  <r>
    <s v="E00549"/>
    <s v="Isabella Xi"/>
    <s v="Vice President"/>
    <x v="6"/>
    <s v="Research &amp; Development"/>
    <x v="0"/>
    <s v="Asian"/>
    <x v="12"/>
    <x v="15"/>
    <x v="9"/>
    <n v="249270"/>
    <n v="0.3"/>
    <s v="United States"/>
    <x v="0"/>
  </r>
  <r>
    <s v="E00163"/>
    <s v="Bella Powell"/>
    <s v="Director"/>
    <x v="1"/>
    <s v="Research &amp; Development"/>
    <x v="0"/>
    <s v="Black"/>
    <x v="13"/>
    <x v="16"/>
    <x v="9"/>
    <n v="175837"/>
    <n v="0.2"/>
    <s v="United States"/>
    <x v="3"/>
  </r>
  <r>
    <s v="E00884"/>
    <s v="Camila Silva"/>
    <s v="Sr. Manger"/>
    <x v="6"/>
    <s v="Speciality Products"/>
    <x v="0"/>
    <s v="Latino"/>
    <x v="14"/>
    <x v="17"/>
    <x v="10"/>
    <n v="154828"/>
    <n v="0.13"/>
    <s v="United States"/>
    <x v="0"/>
  </r>
  <r>
    <s v="E04116"/>
    <s v="David Barnes"/>
    <s v="Director"/>
    <x v="0"/>
    <s v="Corporate"/>
    <x v="1"/>
    <s v="Caucasian"/>
    <x v="14"/>
    <x v="18"/>
    <x v="1"/>
    <n v="186503"/>
    <n v="0.24"/>
    <s v="United States"/>
    <x v="7"/>
  </r>
  <r>
    <s v="E04625"/>
    <s v="Adam Dang"/>
    <s v="Director"/>
    <x v="2"/>
    <s v="Research &amp; Development"/>
    <x v="1"/>
    <s v="Asian"/>
    <x v="15"/>
    <x v="19"/>
    <x v="5"/>
    <n v="166331"/>
    <n v="0.18"/>
    <s v="China"/>
    <x v="1"/>
  </r>
  <r>
    <s v="E03680"/>
    <s v="Elias Alvarado"/>
    <s v="Sr. Manger"/>
    <x v="0"/>
    <s v="Manufacturing"/>
    <x v="1"/>
    <s v="Latino"/>
    <x v="16"/>
    <x v="20"/>
    <x v="4"/>
    <n v="146140"/>
    <n v="0.1"/>
    <s v="Brazil"/>
    <x v="8"/>
  </r>
  <r>
    <s v="E04732"/>
    <s v="Eva Rivera"/>
    <s v="Director"/>
    <x v="2"/>
    <s v="Manufacturing"/>
    <x v="0"/>
    <s v="Latino"/>
    <x v="9"/>
    <x v="21"/>
    <x v="0"/>
    <n v="151703"/>
    <n v="0.21"/>
    <s v="United States"/>
    <x v="4"/>
  </r>
  <r>
    <s v="E03484"/>
    <s v="Logan Rivera"/>
    <s v="Director"/>
    <x v="0"/>
    <s v="Research &amp; Development"/>
    <x v="1"/>
    <s v="Latino"/>
    <x v="1"/>
    <x v="22"/>
    <x v="6"/>
    <n v="172787"/>
    <n v="0.28000000000000003"/>
    <s v="Brazil"/>
    <x v="9"/>
  </r>
  <r>
    <s v="E00671"/>
    <s v="Leonardo Dixon"/>
    <s v="Analyst"/>
    <x v="2"/>
    <s v="Speciality Products"/>
    <x v="1"/>
    <s v="Caucasian"/>
    <x v="17"/>
    <x v="23"/>
    <x v="3"/>
    <n v="49998"/>
    <n v="0"/>
    <s v="United States"/>
    <x v="0"/>
  </r>
  <r>
    <s v="E02071"/>
    <s v="Mateo Her"/>
    <s v="Vice President"/>
    <x v="2"/>
    <s v="Speciality Products"/>
    <x v="1"/>
    <s v="Asian"/>
    <x v="18"/>
    <x v="24"/>
    <x v="9"/>
    <n v="207172"/>
    <n v="0.31"/>
    <s v="China"/>
    <x v="1"/>
  </r>
  <r>
    <s v="E02206"/>
    <s v="Jose Henderson"/>
    <s v="Director"/>
    <x v="4"/>
    <s v="Speciality Products"/>
    <x v="1"/>
    <s v="Black"/>
    <x v="12"/>
    <x v="25"/>
    <x v="0"/>
    <n v="152239"/>
    <n v="0.23"/>
    <s v="United States"/>
    <x v="7"/>
  </r>
  <r>
    <s v="E04545"/>
    <s v="Abigail Mejia"/>
    <s v="Quality Engineer"/>
    <x v="5"/>
    <s v="Corporate"/>
    <x v="0"/>
    <s v="Latino"/>
    <x v="16"/>
    <x v="26"/>
    <x v="8"/>
    <n v="98581"/>
    <n v="0"/>
    <s v="Brazil"/>
    <x v="9"/>
  </r>
  <r>
    <s v="E00154"/>
    <s v="Wyatt Chin"/>
    <s v="Vice President"/>
    <x v="5"/>
    <s v="Speciality Products"/>
    <x v="1"/>
    <s v="Asian"/>
    <x v="19"/>
    <x v="27"/>
    <x v="7"/>
    <n v="246231"/>
    <n v="0.31"/>
    <s v="United States"/>
    <x v="0"/>
  </r>
  <r>
    <s v="E03343"/>
    <s v="Carson Lu"/>
    <s v="Engineering Manager"/>
    <x v="5"/>
    <s v="Speciality Products"/>
    <x v="1"/>
    <s v="Asian"/>
    <x v="14"/>
    <x v="28"/>
    <x v="10"/>
    <n v="99354"/>
    <n v="0.12"/>
    <s v="China"/>
    <x v="10"/>
  </r>
  <r>
    <s v="E00304"/>
    <s v="Dylan Choi"/>
    <s v="Vice President"/>
    <x v="0"/>
    <s v="Corporate"/>
    <x v="1"/>
    <s v="Asian"/>
    <x v="20"/>
    <x v="29"/>
    <x v="6"/>
    <n v="231141"/>
    <n v="0.34"/>
    <s v="China"/>
    <x v="10"/>
  </r>
  <r>
    <s v="E02594"/>
    <s v="Ezekiel Kumar"/>
    <s v="IT Coordinator"/>
    <x v="0"/>
    <s v="Research &amp; Development"/>
    <x v="1"/>
    <s v="Asian"/>
    <x v="21"/>
    <x v="30"/>
    <x v="7"/>
    <n v="54775"/>
    <n v="0"/>
    <s v="United States"/>
    <x v="7"/>
  </r>
  <r>
    <s v="E00402"/>
    <s v="Dominic Guzman"/>
    <s v="Analyst"/>
    <x v="1"/>
    <s v="Manufacturing"/>
    <x v="1"/>
    <s v="Latino"/>
    <x v="13"/>
    <x v="31"/>
    <x v="6"/>
    <n v="55499"/>
    <n v="0"/>
    <s v="Brazil"/>
    <x v="8"/>
  </r>
  <r>
    <s v="E01994"/>
    <s v="Angel Powell"/>
    <s v="Analyst II"/>
    <x v="2"/>
    <s v="Research &amp; Development"/>
    <x v="1"/>
    <s v="Caucasian"/>
    <x v="22"/>
    <x v="32"/>
    <x v="5"/>
    <n v="66521"/>
    <n v="0"/>
    <s v="United States"/>
    <x v="0"/>
  </r>
  <r>
    <s v="E03549"/>
    <s v="Mateo Vu"/>
    <s v="Account Representative"/>
    <x v="2"/>
    <s v="Speciality Products"/>
    <x v="1"/>
    <s v="Asian"/>
    <x v="23"/>
    <x v="33"/>
    <x v="3"/>
    <n v="59100"/>
    <n v="0"/>
    <s v="China"/>
    <x v="1"/>
  </r>
  <r>
    <s v="E03247"/>
    <s v="Caroline Jenkins"/>
    <s v="Analyst"/>
    <x v="1"/>
    <s v="Research &amp; Development"/>
    <x v="0"/>
    <s v="Caucasian"/>
    <x v="5"/>
    <x v="34"/>
    <x v="6"/>
    <n v="49011"/>
    <n v="0"/>
    <s v="United States"/>
    <x v="2"/>
  </r>
  <r>
    <s v="E02074"/>
    <s v="Nora Brown"/>
    <s v="Enterprise Architect"/>
    <x v="0"/>
    <s v="Manufacturing"/>
    <x v="0"/>
    <s v="Caucasian"/>
    <x v="24"/>
    <x v="35"/>
    <x v="8"/>
    <n v="99575"/>
    <n v="0"/>
    <s v="United States"/>
    <x v="5"/>
  </r>
  <r>
    <s v="E04152"/>
    <s v="Adeline Huang"/>
    <s v="Controls Engineer"/>
    <x v="5"/>
    <s v="Manufacturing"/>
    <x v="0"/>
    <s v="Asian"/>
    <x v="8"/>
    <x v="36"/>
    <x v="10"/>
    <n v="99989"/>
    <n v="0"/>
    <s v="China"/>
    <x v="11"/>
  </r>
  <r>
    <s v="E01628"/>
    <s v="Jackson Perry"/>
    <s v="Vice President"/>
    <x v="6"/>
    <s v="Research &amp; Development"/>
    <x v="1"/>
    <s v="Caucasian"/>
    <x v="5"/>
    <x v="37"/>
    <x v="2"/>
    <n v="256420"/>
    <n v="0.3"/>
    <s v="United States"/>
    <x v="3"/>
  </r>
  <r>
    <s v="E04285"/>
    <s v="Riley Padilla"/>
    <s v="Technical Architect"/>
    <x v="0"/>
    <s v="Manufacturing"/>
    <x v="0"/>
    <s v="Latino"/>
    <x v="25"/>
    <x v="38"/>
    <x v="6"/>
    <n v="78940"/>
    <n v="0"/>
    <s v="United States"/>
    <x v="4"/>
  </r>
  <r>
    <s v="E01417"/>
    <s v="Leah Pena"/>
    <s v="Enterprise Architect"/>
    <x v="0"/>
    <s v="Corporate"/>
    <x v="0"/>
    <s v="Latino"/>
    <x v="4"/>
    <x v="39"/>
    <x v="4"/>
    <n v="82872"/>
    <n v="0"/>
    <s v="Brazil"/>
    <x v="8"/>
  </r>
  <r>
    <s v="E01754"/>
    <s v="Owen Lam"/>
    <s v="Sr. Business Partner"/>
    <x v="4"/>
    <s v="Speciality Products"/>
    <x v="1"/>
    <s v="Asian"/>
    <x v="23"/>
    <x v="40"/>
    <x v="6"/>
    <n v="86317"/>
    <n v="0"/>
    <s v="China"/>
    <x v="11"/>
  </r>
  <r>
    <s v="E03749"/>
    <s v="Kennedy Foster"/>
    <s v="Manager"/>
    <x v="6"/>
    <s v="Speciality Products"/>
    <x v="0"/>
    <s v="Caucasian"/>
    <x v="26"/>
    <x v="41"/>
    <x v="1"/>
    <n v="113135"/>
    <n v="0.05"/>
    <s v="United States"/>
    <x v="5"/>
  </r>
  <r>
    <s v="E03574"/>
    <s v="John Moore"/>
    <s v="Vice President"/>
    <x v="0"/>
    <s v="Speciality Products"/>
    <x v="1"/>
    <s v="Caucasian"/>
    <x v="27"/>
    <x v="42"/>
    <x v="1"/>
    <n v="199808"/>
    <n v="0.32"/>
    <s v="United States"/>
    <x v="0"/>
  </r>
  <r>
    <s v="E04600"/>
    <s v="William Vu"/>
    <s v="Account Representative"/>
    <x v="2"/>
    <s v="Speciality Products"/>
    <x v="1"/>
    <s v="Asian"/>
    <x v="17"/>
    <x v="43"/>
    <x v="1"/>
    <n v="56037"/>
    <n v="0"/>
    <s v="China"/>
    <x v="6"/>
  </r>
  <r>
    <s v="E00586"/>
    <s v="Sadie Washington"/>
    <s v="Sr. Manger"/>
    <x v="6"/>
    <s v="Research &amp; Development"/>
    <x v="0"/>
    <s v="Caucasian"/>
    <x v="7"/>
    <x v="44"/>
    <x v="6"/>
    <n v="122350"/>
    <n v="0.12"/>
    <s v="United States"/>
    <x v="3"/>
  </r>
  <r>
    <s v="E03538"/>
    <s v="Gabriel Holmes"/>
    <s v="Enterprise Architect"/>
    <x v="0"/>
    <s v="Research &amp; Development"/>
    <x v="1"/>
    <s v="Caucasian"/>
    <x v="28"/>
    <x v="45"/>
    <x v="1"/>
    <n v="92952"/>
    <n v="0"/>
    <s v="United States"/>
    <x v="0"/>
  </r>
  <r>
    <s v="E02185"/>
    <s v="Wyatt Rojas"/>
    <s v="Computer Systems Manager"/>
    <x v="0"/>
    <s v="Corporate"/>
    <x v="1"/>
    <s v="Latino"/>
    <x v="24"/>
    <x v="46"/>
    <x v="9"/>
    <n v="79921"/>
    <n v="0.05"/>
    <s v="United States"/>
    <x v="5"/>
  </r>
  <r>
    <s v="E03830"/>
    <s v="Eva Coleman"/>
    <s v="Director"/>
    <x v="0"/>
    <s v="Research &amp; Development"/>
    <x v="0"/>
    <s v="Black"/>
    <x v="17"/>
    <x v="47"/>
    <x v="3"/>
    <n v="167199"/>
    <n v="0.2"/>
    <s v="United States"/>
    <x v="0"/>
  </r>
  <r>
    <s v="E03720"/>
    <s v="Dominic Clark"/>
    <s v="Quality Engineer"/>
    <x v="5"/>
    <s v="Research &amp; Development"/>
    <x v="1"/>
    <s v="Caucasian"/>
    <x v="27"/>
    <x v="48"/>
    <x v="2"/>
    <n v="71476"/>
    <n v="0"/>
    <s v="United State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4A5FC-4583-4784-B5FD-A942AA2EAD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5" firstHeaderRow="0" firstDataRow="1" firstDataCol="1"/>
  <pivotFields count="14">
    <pivotField showAll="0"/>
    <pivotField showAll="0"/>
    <pivotField showAll="0"/>
    <pivotField showAll="0"/>
    <pivotField showAll="0"/>
    <pivotField showAll="0"/>
    <pivotField showAll="0"/>
    <pivotField showAll="0"/>
    <pivotField numFmtId="14" showAll="0"/>
    <pivotField axis="axisRow" showAll="0">
      <items count="12">
        <item x="4"/>
        <item x="8"/>
        <item x="9"/>
        <item x="0"/>
        <item x="6"/>
        <item x="7"/>
        <item x="5"/>
        <item x="3"/>
        <item x="2"/>
        <item x="1"/>
        <item x="10"/>
        <item t="default"/>
      </items>
    </pivotField>
    <pivotField dataField="1" numFmtId="6" showAll="0"/>
    <pivotField dataField="1" numFmtId="9" showAll="0"/>
    <pivotField showAll="0"/>
    <pivotField showAll="0"/>
  </pivotFields>
  <rowFields count="1">
    <field x="9"/>
  </rowFields>
  <rowItems count="12">
    <i>
      <x/>
    </i>
    <i>
      <x v="1"/>
    </i>
    <i>
      <x v="2"/>
    </i>
    <i>
      <x v="3"/>
    </i>
    <i>
      <x v="4"/>
    </i>
    <i>
      <x v="5"/>
    </i>
    <i>
      <x v="6"/>
    </i>
    <i>
      <x v="7"/>
    </i>
    <i>
      <x v="8"/>
    </i>
    <i>
      <x v="9"/>
    </i>
    <i>
      <x v="10"/>
    </i>
    <i t="grand">
      <x/>
    </i>
  </rowItems>
  <colFields count="1">
    <field x="-2"/>
  </colFields>
  <colItems count="2">
    <i>
      <x/>
    </i>
    <i i="1">
      <x v="1"/>
    </i>
  </colItems>
  <dataFields count="2">
    <dataField name="Sum of Annual Salary" fld="10" baseField="0" baseItem="0" numFmtId="6"/>
    <dataField name="Sum of Bonus %" fld="11"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8176DE-FF67-4370-8A69-C38980C514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showAll="0"/>
    <pivotField showAll="0"/>
    <pivotField showAll="0"/>
    <pivotField showAll="0"/>
    <pivotField axis="axisRow" showAll="0">
      <items count="3">
        <item x="0"/>
        <item x="1"/>
        <item t="default"/>
      </items>
    </pivotField>
    <pivotField showAll="0"/>
    <pivotField showAll="0"/>
    <pivotField numFmtId="14" showAll="0"/>
    <pivotField showAll="0"/>
    <pivotField dataField="1" numFmtId="6" showAll="0"/>
    <pivotField numFmtId="9" showAll="0"/>
    <pivotField showAll="0"/>
    <pivotField showAll="0"/>
  </pivotFields>
  <rowFields count="1">
    <field x="5"/>
  </rowFields>
  <rowItems count="3">
    <i>
      <x/>
    </i>
    <i>
      <x v="1"/>
    </i>
    <i t="grand">
      <x/>
    </i>
  </rowItems>
  <colItems count="1">
    <i/>
  </colItems>
  <dataFields count="1">
    <dataField name="Sum of Annual Salary" fld="10" baseField="0" baseItem="0" numFmtId="6"/>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85266B-658C-4B67-9B7B-88C2A4ADD6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4">
    <pivotField showAll="0"/>
    <pivotField showAll="0"/>
    <pivotField showAll="0"/>
    <pivotField showAll="0"/>
    <pivotField showAll="0"/>
    <pivotField showAll="0"/>
    <pivotField showAll="0"/>
    <pivotField showAll="0"/>
    <pivotField numFmtId="14" showAll="0"/>
    <pivotField showAll="0"/>
    <pivotField dataField="1" numFmtId="6" showAll="0"/>
    <pivotField numFmtId="9" showAll="0"/>
    <pivotField showAll="0"/>
    <pivotField axis="axisRow" showAll="0">
      <items count="13">
        <item x="5"/>
        <item x="10"/>
        <item x="11"/>
        <item x="2"/>
        <item x="1"/>
        <item x="7"/>
        <item x="8"/>
        <item x="4"/>
        <item x="3"/>
        <item x="9"/>
        <item x="0"/>
        <item x="6"/>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Annual Salary" fld="10"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35AAA-6D3D-4E63-936B-0BDF0A568C9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pivotFields count="14">
    <pivotField showAll="0"/>
    <pivotField showAll="0"/>
    <pivotField showAll="0"/>
    <pivotField axis="axisRow" showAll="0">
      <items count="8">
        <item x="3"/>
        <item x="5"/>
        <item x="1"/>
        <item x="4"/>
        <item x="0"/>
        <item x="6"/>
        <item x="2"/>
        <item t="default"/>
      </items>
    </pivotField>
    <pivotField showAll="0"/>
    <pivotField dataField="1" showAll="0"/>
    <pivotField showAll="0"/>
    <pivotField showAll="0">
      <items count="30">
        <item x="6"/>
        <item x="3"/>
        <item x="5"/>
        <item x="21"/>
        <item x="7"/>
        <item x="23"/>
        <item x="11"/>
        <item x="24"/>
        <item x="8"/>
        <item x="25"/>
        <item x="9"/>
        <item x="17"/>
        <item x="28"/>
        <item x="12"/>
        <item x="19"/>
        <item x="18"/>
        <item x="15"/>
        <item x="2"/>
        <item x="10"/>
        <item x="27"/>
        <item x="26"/>
        <item x="0"/>
        <item x="16"/>
        <item x="4"/>
        <item x="1"/>
        <item x="22"/>
        <item x="20"/>
        <item x="14"/>
        <item x="13"/>
        <item t="default"/>
      </items>
    </pivotField>
    <pivotField numFmtId="14" showAll="0">
      <items count="50">
        <item x="39"/>
        <item x="4"/>
        <item x="28"/>
        <item x="1"/>
        <item x="12"/>
        <item x="16"/>
        <item x="22"/>
        <item x="19"/>
        <item x="17"/>
        <item x="31"/>
        <item x="27"/>
        <item x="26"/>
        <item x="42"/>
        <item x="2"/>
        <item x="32"/>
        <item x="10"/>
        <item x="47"/>
        <item x="45"/>
        <item x="20"/>
        <item x="29"/>
        <item x="48"/>
        <item x="15"/>
        <item x="46"/>
        <item x="38"/>
        <item x="18"/>
        <item x="43"/>
        <item x="41"/>
        <item x="35"/>
        <item x="24"/>
        <item x="25"/>
        <item x="0"/>
        <item x="33"/>
        <item x="5"/>
        <item x="40"/>
        <item x="30"/>
        <item x="14"/>
        <item x="34"/>
        <item x="9"/>
        <item x="8"/>
        <item x="44"/>
        <item x="23"/>
        <item x="3"/>
        <item x="37"/>
        <item x="36"/>
        <item x="7"/>
        <item x="6"/>
        <item x="21"/>
        <item x="13"/>
        <item x="11"/>
        <item t="default"/>
      </items>
    </pivotField>
    <pivotField showAll="0">
      <items count="12">
        <item x="4"/>
        <item x="8"/>
        <item x="9"/>
        <item x="0"/>
        <item x="6"/>
        <item x="7"/>
        <item x="5"/>
        <item x="3"/>
        <item x="2"/>
        <item x="1"/>
        <item x="10"/>
        <item t="default"/>
      </items>
    </pivotField>
    <pivotField numFmtId="6" showAll="0"/>
    <pivotField numFmtId="9" showAll="0"/>
    <pivotField showAll="0"/>
    <pivotField showAll="0"/>
  </pivotFields>
  <rowFields count="1">
    <field x="3"/>
  </rowFields>
  <rowItems count="8">
    <i>
      <x/>
    </i>
    <i>
      <x v="1"/>
    </i>
    <i>
      <x v="2"/>
    </i>
    <i>
      <x v="3"/>
    </i>
    <i>
      <x v="4"/>
    </i>
    <i>
      <x v="5"/>
    </i>
    <i>
      <x v="6"/>
    </i>
    <i t="grand">
      <x/>
    </i>
  </rowItems>
  <colItems count="1">
    <i/>
  </colItems>
  <dataFields count="1">
    <dataField name="Count of Gender" fld="5" subtotal="count" baseField="0" baseItem="0"/>
  </dataFields>
  <chartFormats count="9">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A5B4F4-4612-4EAE-8DF6-8BD73488CB36}" sourceName="Month">
  <pivotTables>
    <pivotTable tabId="5" name="PivotTable4"/>
  </pivotTables>
  <data>
    <tabular pivotCacheId="1673872515">
      <items count="11">
        <i x="4" s="1"/>
        <i x="8" s="1"/>
        <i x="9" s="1"/>
        <i x="0" s="1"/>
        <i x="6" s="1"/>
        <i x="7" s="1"/>
        <i x="5" s="1"/>
        <i x="3" s="1"/>
        <i x="2" s="1"/>
        <i x="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BC4B90-DD29-460F-9D66-C9DCFBCBACD7}" sourceName="City">
  <pivotTables>
    <pivotTable tabId="4" name="PivotTable3"/>
  </pivotTables>
  <data>
    <tabular pivotCacheId="1673872515">
      <items count="12">
        <i x="5" s="1"/>
        <i x="10" s="1"/>
        <i x="11" s="1"/>
        <i x="2" s="1"/>
        <i x="1" s="1"/>
        <i x="7" s="1"/>
        <i x="8" s="1"/>
        <i x="4" s="1"/>
        <i x="3" s="1"/>
        <i x="9"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C472F60-BD07-4FAA-A263-F365157B87D8}"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5FD0517-0CB3-40A5-A351-0A8CB4E082D6}"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DFDE728-093E-43D7-8595-3770B750E4D4}" cache="Slicer_Month" caption="Month" rowHeight="234950"/>
  <slicer name="City 1" xr10:uid="{D38E0754-768A-4C76-A018-9B06DD7ACF34}"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20C2A679-4B27-47F4-B1CF-9CA69AAFD4D5}" sourceName="Hire Date">
  <pivotTables>
    <pivotTable tabId="5" name="PivotTable4"/>
  </pivotTables>
  <state minimalRefreshVersion="6" lastRefreshVersion="6" pivotCacheId="1673872515" filterType="unknown">
    <bounds startDate="199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92F89FB0-F22A-459E-A356-339DDF3AC179}" cache="NativeTimeline_Hire_Date" caption="Hire Date" level="2" selectionLevel="2" scrollPosition="2021-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1" xr10:uid="{A5E8C4BF-BF5E-4996-914F-A862B88E9C87}" cache="NativeTimeline_Hire_Date" caption="Hire Date" level="2" selectionLevel="2" scrollPosition="2021-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7F935-CDDD-4138-803C-30B304BC753F}">
  <sheetPr>
    <tabColor theme="7"/>
  </sheetPr>
  <dimension ref="A3:C15"/>
  <sheetViews>
    <sheetView workbookViewId="0">
      <selection activeCell="C9" sqref="C9"/>
    </sheetView>
  </sheetViews>
  <sheetFormatPr defaultRowHeight="14.4" x14ac:dyDescent="0.3"/>
  <cols>
    <col min="1" max="1" width="12.5546875" bestFit="1" customWidth="1"/>
    <col min="2" max="2" width="19.21875" bestFit="1" customWidth="1"/>
    <col min="3" max="3" width="14.6640625" bestFit="1" customWidth="1"/>
  </cols>
  <sheetData>
    <row r="3" spans="1:3" x14ac:dyDescent="0.3">
      <c r="A3" s="6" t="s">
        <v>160</v>
      </c>
      <c r="B3" t="s">
        <v>173</v>
      </c>
      <c r="C3" t="s">
        <v>174</v>
      </c>
    </row>
    <row r="4" spans="1:3" x14ac:dyDescent="0.3">
      <c r="A4" s="7" t="s">
        <v>161</v>
      </c>
      <c r="B4" s="8">
        <v>393533</v>
      </c>
      <c r="C4" s="9">
        <v>0.16</v>
      </c>
    </row>
    <row r="5" spans="1:3" x14ac:dyDescent="0.3">
      <c r="A5" s="7" t="s">
        <v>162</v>
      </c>
      <c r="B5" s="8">
        <v>355489</v>
      </c>
      <c r="C5" s="9">
        <v>0.15</v>
      </c>
    </row>
    <row r="6" spans="1:3" x14ac:dyDescent="0.3">
      <c r="A6" s="7" t="s">
        <v>163</v>
      </c>
      <c r="B6" s="8">
        <v>817286</v>
      </c>
      <c r="C6" s="9">
        <v>0.95000000000000018</v>
      </c>
    </row>
    <row r="7" spans="1:3" x14ac:dyDescent="0.3">
      <c r="A7" s="7" t="s">
        <v>164</v>
      </c>
      <c r="B7" s="8">
        <v>445546</v>
      </c>
      <c r="C7" s="9">
        <v>0.59</v>
      </c>
    </row>
    <row r="8" spans="1:3" x14ac:dyDescent="0.3">
      <c r="A8" s="7" t="s">
        <v>165</v>
      </c>
      <c r="B8" s="8">
        <v>837381</v>
      </c>
      <c r="C8" s="9">
        <v>0.7400000000000001</v>
      </c>
    </row>
    <row r="9" spans="1:3" x14ac:dyDescent="0.3">
      <c r="A9" s="7" t="s">
        <v>166</v>
      </c>
      <c r="B9" s="8">
        <v>524951</v>
      </c>
      <c r="C9" s="9">
        <v>0.41000000000000003</v>
      </c>
    </row>
    <row r="10" spans="1:3" x14ac:dyDescent="0.3">
      <c r="A10" s="7" t="s">
        <v>167</v>
      </c>
      <c r="B10" s="8">
        <v>352598</v>
      </c>
      <c r="C10" s="9">
        <v>0.28000000000000003</v>
      </c>
    </row>
    <row r="11" spans="1:3" x14ac:dyDescent="0.3">
      <c r="A11" s="7" t="s">
        <v>168</v>
      </c>
      <c r="B11" s="8">
        <v>361210</v>
      </c>
      <c r="C11" s="9">
        <v>0.27</v>
      </c>
    </row>
    <row r="12" spans="1:3" x14ac:dyDescent="0.3">
      <c r="A12" s="7" t="s">
        <v>169</v>
      </c>
      <c r="B12" s="8">
        <v>600846</v>
      </c>
      <c r="C12" s="9">
        <v>0.5</v>
      </c>
    </row>
    <row r="13" spans="1:3" x14ac:dyDescent="0.3">
      <c r="A13" s="7" t="s">
        <v>170</v>
      </c>
      <c r="B13" s="8">
        <v>940897</v>
      </c>
      <c r="C13" s="9">
        <v>0.61</v>
      </c>
    </row>
    <row r="14" spans="1:3" x14ac:dyDescent="0.3">
      <c r="A14" s="7" t="s">
        <v>171</v>
      </c>
      <c r="B14" s="8">
        <v>354171</v>
      </c>
      <c r="C14" s="9">
        <v>0.25</v>
      </c>
    </row>
    <row r="15" spans="1:3" x14ac:dyDescent="0.3">
      <c r="A15" s="7" t="s">
        <v>172</v>
      </c>
      <c r="B15" s="8">
        <v>5983908</v>
      </c>
      <c r="C15" s="9">
        <v>4.910000000000001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EF54-5079-40C1-8EA6-B44B2E3E14AA}">
  <sheetPr>
    <tabColor theme="8"/>
  </sheetPr>
  <dimension ref="A3:B6"/>
  <sheetViews>
    <sheetView workbookViewId="0">
      <selection activeCell="B5" sqref="B5"/>
    </sheetView>
  </sheetViews>
  <sheetFormatPr defaultRowHeight="14.4" x14ac:dyDescent="0.3"/>
  <cols>
    <col min="1" max="1" width="12.5546875" bestFit="1" customWidth="1"/>
    <col min="2" max="2" width="19.21875" bestFit="1" customWidth="1"/>
  </cols>
  <sheetData>
    <row r="3" spans="1:2" x14ac:dyDescent="0.3">
      <c r="A3" s="6" t="s">
        <v>160</v>
      </c>
      <c r="B3" t="s">
        <v>173</v>
      </c>
    </row>
    <row r="4" spans="1:2" x14ac:dyDescent="0.3">
      <c r="A4" s="7" t="s">
        <v>18</v>
      </c>
      <c r="B4" s="8">
        <v>2643781</v>
      </c>
    </row>
    <row r="5" spans="1:2" x14ac:dyDescent="0.3">
      <c r="A5" s="7" t="s">
        <v>26</v>
      </c>
      <c r="B5" s="8">
        <v>3340127</v>
      </c>
    </row>
    <row r="6" spans="1:2" x14ac:dyDescent="0.3">
      <c r="A6" s="7" t="s">
        <v>172</v>
      </c>
      <c r="B6" s="8">
        <v>5983908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16DC-7B78-4EDE-9053-4AE45DE2E565}">
  <sheetPr>
    <tabColor theme="7" tint="0.39997558519241921"/>
  </sheetPr>
  <dimension ref="A3:B16"/>
  <sheetViews>
    <sheetView workbookViewId="0">
      <selection activeCell="B9" sqref="B9"/>
    </sheetView>
  </sheetViews>
  <sheetFormatPr defaultRowHeight="14.4" x14ac:dyDescent="0.3"/>
  <cols>
    <col min="1" max="1" width="12.5546875" bestFit="1" customWidth="1"/>
    <col min="2" max="2" width="19.21875" bestFit="1" customWidth="1"/>
  </cols>
  <sheetData>
    <row r="3" spans="1:2" x14ac:dyDescent="0.3">
      <c r="A3" s="6" t="s">
        <v>160</v>
      </c>
      <c r="B3" t="s">
        <v>173</v>
      </c>
    </row>
    <row r="4" spans="1:2" x14ac:dyDescent="0.3">
      <c r="A4" s="7" t="s">
        <v>59</v>
      </c>
      <c r="B4" s="8">
        <v>608322</v>
      </c>
    </row>
    <row r="5" spans="1:2" x14ac:dyDescent="0.3">
      <c r="A5" s="7" t="s">
        <v>113</v>
      </c>
      <c r="B5" s="8">
        <v>330495</v>
      </c>
    </row>
    <row r="6" spans="1:2" x14ac:dyDescent="0.3">
      <c r="A6" s="7" t="s">
        <v>133</v>
      </c>
      <c r="B6" s="8">
        <v>186306</v>
      </c>
    </row>
    <row r="7" spans="1:2" x14ac:dyDescent="0.3">
      <c r="A7" s="7" t="s">
        <v>36</v>
      </c>
      <c r="B7" s="8">
        <v>374226</v>
      </c>
    </row>
    <row r="8" spans="1:2" x14ac:dyDescent="0.3">
      <c r="A8" s="7" t="s">
        <v>29</v>
      </c>
      <c r="B8" s="8">
        <v>583572</v>
      </c>
    </row>
    <row r="9" spans="1:2" x14ac:dyDescent="0.3">
      <c r="A9" s="7" t="s">
        <v>87</v>
      </c>
      <c r="B9" s="8">
        <v>393517</v>
      </c>
    </row>
    <row r="10" spans="1:2" x14ac:dyDescent="0.3">
      <c r="A10" s="7" t="s">
        <v>93</v>
      </c>
      <c r="B10" s="8">
        <v>284511</v>
      </c>
    </row>
    <row r="11" spans="1:2" x14ac:dyDescent="0.3">
      <c r="A11" s="7" t="s">
        <v>55</v>
      </c>
      <c r="B11" s="8">
        <v>429312</v>
      </c>
    </row>
    <row r="12" spans="1:2" x14ac:dyDescent="0.3">
      <c r="A12" s="7" t="s">
        <v>43</v>
      </c>
      <c r="B12" s="8">
        <v>841238</v>
      </c>
    </row>
    <row r="13" spans="1:2" x14ac:dyDescent="0.3">
      <c r="A13" s="7" t="s">
        <v>98</v>
      </c>
      <c r="B13" s="8">
        <v>271368</v>
      </c>
    </row>
    <row r="14" spans="1:2" x14ac:dyDescent="0.3">
      <c r="A14" s="7" t="s">
        <v>21</v>
      </c>
      <c r="B14" s="8">
        <v>1478262</v>
      </c>
    </row>
    <row r="15" spans="1:2" x14ac:dyDescent="0.3">
      <c r="A15" s="7" t="s">
        <v>73</v>
      </c>
      <c r="B15" s="8">
        <v>202779</v>
      </c>
    </row>
    <row r="16" spans="1:2" x14ac:dyDescent="0.3">
      <c r="A16" s="7" t="s">
        <v>172</v>
      </c>
      <c r="B16" s="8">
        <v>5983908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23DC-5BD7-40A2-8D40-EF57D09D955E}">
  <sheetPr>
    <tabColor theme="8" tint="0.39997558519241921"/>
  </sheetPr>
  <dimension ref="A3:B11"/>
  <sheetViews>
    <sheetView workbookViewId="0">
      <selection activeCell="B6" sqref="B6"/>
    </sheetView>
  </sheetViews>
  <sheetFormatPr defaultRowHeight="14.4" x14ac:dyDescent="0.3"/>
  <cols>
    <col min="1" max="1" width="15.6640625" bestFit="1" customWidth="1"/>
    <col min="2" max="2" width="15" bestFit="1" customWidth="1"/>
  </cols>
  <sheetData>
    <row r="3" spans="1:2" x14ac:dyDescent="0.3">
      <c r="A3" s="6" t="s">
        <v>160</v>
      </c>
      <c r="B3" t="s">
        <v>175</v>
      </c>
    </row>
    <row r="4" spans="1:2" x14ac:dyDescent="0.3">
      <c r="A4" s="7" t="s">
        <v>58</v>
      </c>
      <c r="B4">
        <v>2</v>
      </c>
    </row>
    <row r="5" spans="1:2" x14ac:dyDescent="0.3">
      <c r="A5" s="7" t="s">
        <v>68</v>
      </c>
      <c r="B5">
        <v>6</v>
      </c>
    </row>
    <row r="6" spans="1:2" x14ac:dyDescent="0.3">
      <c r="A6" s="7" t="s">
        <v>33</v>
      </c>
      <c r="B6">
        <v>8</v>
      </c>
    </row>
    <row r="7" spans="1:2" x14ac:dyDescent="0.3">
      <c r="A7" s="7" t="s">
        <v>64</v>
      </c>
      <c r="B7">
        <v>4</v>
      </c>
    </row>
    <row r="8" spans="1:2" x14ac:dyDescent="0.3">
      <c r="A8" s="7" t="s">
        <v>16</v>
      </c>
      <c r="B8">
        <v>16</v>
      </c>
    </row>
    <row r="9" spans="1:2" x14ac:dyDescent="0.3">
      <c r="A9" s="7" t="s">
        <v>79</v>
      </c>
      <c r="B9">
        <v>5</v>
      </c>
    </row>
    <row r="10" spans="1:2" x14ac:dyDescent="0.3">
      <c r="A10" s="7" t="s">
        <v>47</v>
      </c>
      <c r="B10">
        <v>8</v>
      </c>
    </row>
    <row r="11" spans="1:2" x14ac:dyDescent="0.3">
      <c r="A11" s="7" t="s">
        <v>172</v>
      </c>
      <c r="B11">
        <v>49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8A3A-3C0F-4F16-909C-AC1BAE2213D6}">
  <sheetPr>
    <tabColor theme="5"/>
  </sheetPr>
  <dimension ref="A1:N50"/>
  <sheetViews>
    <sheetView workbookViewId="0">
      <selection activeCell="G15" sqref="G15"/>
    </sheetView>
  </sheetViews>
  <sheetFormatPr defaultRowHeight="14.4" x14ac:dyDescent="0.3"/>
  <cols>
    <col min="2" max="2" width="15.5546875" bestFit="1" customWidth="1"/>
    <col min="3" max="3" width="24.109375" bestFit="1" customWidth="1"/>
    <col min="4" max="4" width="15.6640625" bestFit="1" customWidth="1"/>
    <col min="5" max="5" width="21.88671875" bestFit="1" customWidth="1"/>
    <col min="6" max="6" width="6.88671875" bestFit="1" customWidth="1"/>
    <col min="9" max="9" width="10.5546875" bestFit="1" customWidth="1"/>
    <col min="10" max="10" width="10.5546875" customWidth="1"/>
    <col min="11" max="11" width="11.88671875" bestFit="1" customWidth="1"/>
    <col min="13" max="13" width="11.88671875" bestFit="1" customWidth="1"/>
    <col min="14" max="14" width="12.44140625" bestFit="1" customWidth="1"/>
  </cols>
  <sheetData>
    <row r="1" spans="1:14" x14ac:dyDescent="0.3">
      <c r="A1" s="5" t="s">
        <v>0</v>
      </c>
      <c r="B1" s="5" t="s">
        <v>1</v>
      </c>
      <c r="C1" s="5" t="s">
        <v>2</v>
      </c>
      <c r="D1" s="5" t="s">
        <v>3</v>
      </c>
      <c r="E1" s="5" t="s">
        <v>4</v>
      </c>
      <c r="F1" s="5" t="s">
        <v>5</v>
      </c>
      <c r="G1" s="5" t="s">
        <v>6</v>
      </c>
      <c r="H1" s="5" t="s">
        <v>7</v>
      </c>
      <c r="I1" s="5" t="s">
        <v>8</v>
      </c>
      <c r="J1" s="5" t="s">
        <v>159</v>
      </c>
      <c r="K1" s="5" t="s">
        <v>9</v>
      </c>
      <c r="L1" s="5" t="s">
        <v>10</v>
      </c>
      <c r="M1" s="5" t="s">
        <v>11</v>
      </c>
      <c r="N1" s="5" t="s">
        <v>12</v>
      </c>
    </row>
    <row r="2" spans="1:14" x14ac:dyDescent="0.3">
      <c r="A2" s="1" t="s">
        <v>13</v>
      </c>
      <c r="B2" s="1" t="s">
        <v>14</v>
      </c>
      <c r="C2" s="1" t="s">
        <v>15</v>
      </c>
      <c r="D2" s="1" t="s">
        <v>16</v>
      </c>
      <c r="E2" s="1" t="s">
        <v>17</v>
      </c>
      <c r="F2" s="1" t="s">
        <v>18</v>
      </c>
      <c r="G2" s="1" t="s">
        <v>19</v>
      </c>
      <c r="H2" s="1">
        <v>55</v>
      </c>
      <c r="I2" s="2">
        <v>42468</v>
      </c>
      <c r="J2" s="2" t="str">
        <f>TEXT(I2,"MMMM")</f>
        <v>April</v>
      </c>
      <c r="K2" s="3">
        <v>141604</v>
      </c>
      <c r="L2" s="4">
        <v>0.15</v>
      </c>
      <c r="M2" s="1" t="s">
        <v>20</v>
      </c>
      <c r="N2" s="1" t="s">
        <v>21</v>
      </c>
    </row>
    <row r="3" spans="1:14" x14ac:dyDescent="0.3">
      <c r="A3" s="1" t="s">
        <v>22</v>
      </c>
      <c r="B3" s="1" t="s">
        <v>23</v>
      </c>
      <c r="C3" s="1" t="s">
        <v>24</v>
      </c>
      <c r="D3" s="1" t="s">
        <v>16</v>
      </c>
      <c r="E3" s="1" t="s">
        <v>25</v>
      </c>
      <c r="F3" s="1" t="s">
        <v>26</v>
      </c>
      <c r="G3" s="1" t="s">
        <v>27</v>
      </c>
      <c r="H3" s="1">
        <v>59</v>
      </c>
      <c r="I3" s="2">
        <v>35763</v>
      </c>
      <c r="J3" s="2" t="str">
        <f t="shared" ref="J3:J50" si="0">TEXT(I3,"MMMM")</f>
        <v>November</v>
      </c>
      <c r="K3" s="3">
        <v>99975</v>
      </c>
      <c r="L3" s="4">
        <v>0</v>
      </c>
      <c r="M3" s="1" t="s">
        <v>28</v>
      </c>
      <c r="N3" s="1" t="s">
        <v>29</v>
      </c>
    </row>
    <row r="4" spans="1:14" x14ac:dyDescent="0.3">
      <c r="A4" s="1" t="s">
        <v>30</v>
      </c>
      <c r="B4" s="1" t="s">
        <v>31</v>
      </c>
      <c r="C4" s="1" t="s">
        <v>32</v>
      </c>
      <c r="D4" s="1" t="s">
        <v>33</v>
      </c>
      <c r="E4" s="1" t="s">
        <v>34</v>
      </c>
      <c r="F4" s="1" t="s">
        <v>18</v>
      </c>
      <c r="G4" s="1" t="s">
        <v>35</v>
      </c>
      <c r="H4" s="1">
        <v>50</v>
      </c>
      <c r="I4" s="2">
        <v>39016</v>
      </c>
      <c r="J4" s="2" t="str">
        <f t="shared" si="0"/>
        <v>October</v>
      </c>
      <c r="K4" s="3">
        <v>163099</v>
      </c>
      <c r="L4" s="4">
        <v>0.2</v>
      </c>
      <c r="M4" s="1" t="s">
        <v>20</v>
      </c>
      <c r="N4" s="1" t="s">
        <v>36</v>
      </c>
    </row>
    <row r="5" spans="1:14" x14ac:dyDescent="0.3">
      <c r="A5" s="1" t="s">
        <v>37</v>
      </c>
      <c r="B5" s="1" t="s">
        <v>38</v>
      </c>
      <c r="C5" s="1" t="s">
        <v>39</v>
      </c>
      <c r="D5" s="1" t="s">
        <v>16</v>
      </c>
      <c r="E5" s="1" t="s">
        <v>25</v>
      </c>
      <c r="F5" s="1" t="s">
        <v>18</v>
      </c>
      <c r="G5" s="1" t="s">
        <v>35</v>
      </c>
      <c r="H5" s="1">
        <v>26</v>
      </c>
      <c r="I5" s="2">
        <v>43735</v>
      </c>
      <c r="J5" s="2" t="str">
        <f t="shared" si="0"/>
        <v>September</v>
      </c>
      <c r="K5" s="3">
        <v>84913</v>
      </c>
      <c r="L5" s="4">
        <v>7.0000000000000007E-2</v>
      </c>
      <c r="M5" s="1" t="s">
        <v>20</v>
      </c>
      <c r="N5" s="1" t="s">
        <v>36</v>
      </c>
    </row>
    <row r="6" spans="1:14" x14ac:dyDescent="0.3">
      <c r="A6" s="1" t="s">
        <v>40</v>
      </c>
      <c r="B6" s="1" t="s">
        <v>41</v>
      </c>
      <c r="C6" s="1" t="s">
        <v>42</v>
      </c>
      <c r="D6" s="1" t="s">
        <v>33</v>
      </c>
      <c r="E6" s="1" t="s">
        <v>25</v>
      </c>
      <c r="F6" s="1" t="s">
        <v>26</v>
      </c>
      <c r="G6" s="1" t="s">
        <v>27</v>
      </c>
      <c r="H6" s="1">
        <v>55</v>
      </c>
      <c r="I6" s="2">
        <v>35023</v>
      </c>
      <c r="J6" s="2" t="str">
        <f t="shared" si="0"/>
        <v>November</v>
      </c>
      <c r="K6" s="3">
        <v>95409</v>
      </c>
      <c r="L6" s="4">
        <v>0</v>
      </c>
      <c r="M6" s="1" t="s">
        <v>20</v>
      </c>
      <c r="N6" s="1" t="s">
        <v>43</v>
      </c>
    </row>
    <row r="7" spans="1:14" x14ac:dyDescent="0.3">
      <c r="A7" s="1" t="s">
        <v>44</v>
      </c>
      <c r="B7" s="1" t="s">
        <v>45</v>
      </c>
      <c r="C7" s="1" t="s">
        <v>46</v>
      </c>
      <c r="D7" s="1" t="s">
        <v>47</v>
      </c>
      <c r="E7" s="1" t="s">
        <v>48</v>
      </c>
      <c r="F7" s="1" t="s">
        <v>26</v>
      </c>
      <c r="G7" s="1" t="s">
        <v>27</v>
      </c>
      <c r="H7" s="1">
        <v>57</v>
      </c>
      <c r="I7" s="2">
        <v>42759</v>
      </c>
      <c r="J7" s="2" t="str">
        <f t="shared" si="0"/>
        <v>January</v>
      </c>
      <c r="K7" s="3">
        <v>50994</v>
      </c>
      <c r="L7" s="4">
        <v>0</v>
      </c>
      <c r="M7" s="1" t="s">
        <v>28</v>
      </c>
      <c r="N7" s="1" t="s">
        <v>29</v>
      </c>
    </row>
    <row r="8" spans="1:14" x14ac:dyDescent="0.3">
      <c r="A8" s="1" t="s">
        <v>49</v>
      </c>
      <c r="B8" s="1" t="s">
        <v>50</v>
      </c>
      <c r="C8" s="1" t="s">
        <v>51</v>
      </c>
      <c r="D8" s="1" t="s">
        <v>16</v>
      </c>
      <c r="E8" s="1" t="s">
        <v>48</v>
      </c>
      <c r="F8" s="1" t="s">
        <v>18</v>
      </c>
      <c r="G8" s="1" t="s">
        <v>35</v>
      </c>
      <c r="H8" s="1">
        <v>27</v>
      </c>
      <c r="I8" s="2">
        <v>44013</v>
      </c>
      <c r="J8" s="2" t="str">
        <f t="shared" si="0"/>
        <v>July</v>
      </c>
      <c r="K8" s="3">
        <v>119746</v>
      </c>
      <c r="L8" s="4">
        <v>0.1</v>
      </c>
      <c r="M8" s="1" t="s">
        <v>20</v>
      </c>
      <c r="N8" s="1" t="s">
        <v>43</v>
      </c>
    </row>
    <row r="9" spans="1:14" x14ac:dyDescent="0.3">
      <c r="A9" s="1" t="s">
        <v>52</v>
      </c>
      <c r="B9" s="1" t="s">
        <v>53</v>
      </c>
      <c r="C9" s="1" t="s">
        <v>54</v>
      </c>
      <c r="D9" s="1" t="s">
        <v>33</v>
      </c>
      <c r="E9" s="1" t="s">
        <v>25</v>
      </c>
      <c r="F9" s="1" t="s">
        <v>26</v>
      </c>
      <c r="G9" s="1" t="s">
        <v>19</v>
      </c>
      <c r="H9" s="1">
        <v>25</v>
      </c>
      <c r="I9" s="2">
        <v>43967</v>
      </c>
      <c r="J9" s="2" t="str">
        <f t="shared" si="0"/>
        <v>May</v>
      </c>
      <c r="K9" s="3">
        <v>41336</v>
      </c>
      <c r="L9" s="4">
        <v>0</v>
      </c>
      <c r="M9" s="1" t="s">
        <v>20</v>
      </c>
      <c r="N9" s="1" t="s">
        <v>55</v>
      </c>
    </row>
    <row r="10" spans="1:14" x14ac:dyDescent="0.3">
      <c r="A10" s="1" t="s">
        <v>56</v>
      </c>
      <c r="B10" s="1" t="s">
        <v>57</v>
      </c>
      <c r="C10" s="1" t="s">
        <v>51</v>
      </c>
      <c r="D10" s="1" t="s">
        <v>58</v>
      </c>
      <c r="E10" s="1" t="s">
        <v>25</v>
      </c>
      <c r="F10" s="1" t="s">
        <v>26</v>
      </c>
      <c r="G10" s="1" t="s">
        <v>35</v>
      </c>
      <c r="H10" s="1">
        <v>29</v>
      </c>
      <c r="I10" s="2">
        <v>43490</v>
      </c>
      <c r="J10" s="2" t="str">
        <f t="shared" si="0"/>
        <v>January</v>
      </c>
      <c r="K10" s="3">
        <v>113527</v>
      </c>
      <c r="L10" s="4">
        <v>0.06</v>
      </c>
      <c r="M10" s="1" t="s">
        <v>20</v>
      </c>
      <c r="N10" s="1" t="s">
        <v>59</v>
      </c>
    </row>
    <row r="11" spans="1:14" x14ac:dyDescent="0.3">
      <c r="A11" s="1" t="s">
        <v>60</v>
      </c>
      <c r="B11" s="1" t="s">
        <v>61</v>
      </c>
      <c r="C11" s="1" t="s">
        <v>42</v>
      </c>
      <c r="D11" s="1" t="s">
        <v>33</v>
      </c>
      <c r="E11" s="1" t="s">
        <v>34</v>
      </c>
      <c r="F11" s="1" t="s">
        <v>18</v>
      </c>
      <c r="G11" s="1" t="s">
        <v>35</v>
      </c>
      <c r="H11" s="1">
        <v>34</v>
      </c>
      <c r="I11" s="2">
        <v>43264</v>
      </c>
      <c r="J11" s="2" t="str">
        <f t="shared" si="0"/>
        <v>June</v>
      </c>
      <c r="K11" s="3">
        <v>77203</v>
      </c>
      <c r="L11" s="4">
        <v>0</v>
      </c>
      <c r="M11" s="1" t="s">
        <v>20</v>
      </c>
      <c r="N11" s="1" t="s">
        <v>36</v>
      </c>
    </row>
    <row r="12" spans="1:14" x14ac:dyDescent="0.3">
      <c r="A12" s="1" t="s">
        <v>62</v>
      </c>
      <c r="B12" s="1" t="s">
        <v>63</v>
      </c>
      <c r="C12" s="1" t="s">
        <v>15</v>
      </c>
      <c r="D12" s="1" t="s">
        <v>64</v>
      </c>
      <c r="E12" s="1" t="s">
        <v>25</v>
      </c>
      <c r="F12" s="1" t="s">
        <v>18</v>
      </c>
      <c r="G12" s="1" t="s">
        <v>27</v>
      </c>
      <c r="H12" s="1">
        <v>36</v>
      </c>
      <c r="I12" s="2">
        <v>39855</v>
      </c>
      <c r="J12" s="2" t="str">
        <f t="shared" si="0"/>
        <v>February</v>
      </c>
      <c r="K12" s="3">
        <v>157333</v>
      </c>
      <c r="L12" s="4">
        <v>0.15</v>
      </c>
      <c r="M12" s="1" t="s">
        <v>20</v>
      </c>
      <c r="N12" s="1" t="s">
        <v>55</v>
      </c>
    </row>
    <row r="13" spans="1:14" x14ac:dyDescent="0.3">
      <c r="A13" s="1" t="s">
        <v>65</v>
      </c>
      <c r="B13" s="1" t="s">
        <v>66</v>
      </c>
      <c r="C13" s="1" t="s">
        <v>67</v>
      </c>
      <c r="D13" s="1" t="s">
        <v>68</v>
      </c>
      <c r="E13" s="1" t="s">
        <v>34</v>
      </c>
      <c r="F13" s="1" t="s">
        <v>18</v>
      </c>
      <c r="G13" s="1" t="s">
        <v>35</v>
      </c>
      <c r="H13" s="1">
        <v>27</v>
      </c>
      <c r="I13" s="2">
        <v>44490</v>
      </c>
      <c r="J13" s="2" t="str">
        <f t="shared" si="0"/>
        <v>October</v>
      </c>
      <c r="K13" s="3">
        <v>109851</v>
      </c>
      <c r="L13" s="4">
        <v>0</v>
      </c>
      <c r="M13" s="1" t="s">
        <v>20</v>
      </c>
      <c r="N13" s="1" t="s">
        <v>21</v>
      </c>
    </row>
    <row r="14" spans="1:14" x14ac:dyDescent="0.3">
      <c r="A14" s="1" t="s">
        <v>69</v>
      </c>
      <c r="B14" s="1" t="s">
        <v>70</v>
      </c>
      <c r="C14" s="1" t="s">
        <v>51</v>
      </c>
      <c r="D14" s="1" t="s">
        <v>64</v>
      </c>
      <c r="E14" s="1" t="s">
        <v>25</v>
      </c>
      <c r="F14" s="1" t="s">
        <v>26</v>
      </c>
      <c r="G14" s="1" t="s">
        <v>35</v>
      </c>
      <c r="H14" s="1">
        <v>59</v>
      </c>
      <c r="I14" s="2">
        <v>36233</v>
      </c>
      <c r="J14" s="2" t="str">
        <f t="shared" si="0"/>
        <v>March</v>
      </c>
      <c r="K14" s="3">
        <v>105086</v>
      </c>
      <c r="L14" s="4">
        <v>0.09</v>
      </c>
      <c r="M14" s="1" t="s">
        <v>20</v>
      </c>
      <c r="N14" s="1" t="s">
        <v>59</v>
      </c>
    </row>
    <row r="15" spans="1:14" x14ac:dyDescent="0.3">
      <c r="A15" s="1" t="s">
        <v>71</v>
      </c>
      <c r="B15" s="1" t="s">
        <v>72</v>
      </c>
      <c r="C15" s="1" t="s">
        <v>15</v>
      </c>
      <c r="D15" s="1" t="s">
        <v>33</v>
      </c>
      <c r="E15" s="1" t="s">
        <v>17</v>
      </c>
      <c r="F15" s="1" t="s">
        <v>18</v>
      </c>
      <c r="G15" s="1" t="s">
        <v>27</v>
      </c>
      <c r="H15" s="1">
        <v>51</v>
      </c>
      <c r="I15" s="2">
        <v>44357</v>
      </c>
      <c r="J15" s="2" t="str">
        <f t="shared" si="0"/>
        <v>June</v>
      </c>
      <c r="K15" s="3">
        <v>146742</v>
      </c>
      <c r="L15" s="4">
        <v>0.1</v>
      </c>
      <c r="M15" s="1" t="s">
        <v>28</v>
      </c>
      <c r="N15" s="1" t="s">
        <v>73</v>
      </c>
    </row>
    <row r="16" spans="1:14" x14ac:dyDescent="0.3">
      <c r="A16" s="1" t="s">
        <v>74</v>
      </c>
      <c r="B16" s="1" t="s">
        <v>75</v>
      </c>
      <c r="C16" s="1" t="s">
        <v>42</v>
      </c>
      <c r="D16" s="1" t="s">
        <v>58</v>
      </c>
      <c r="E16" s="1" t="s">
        <v>34</v>
      </c>
      <c r="F16" s="1" t="s">
        <v>26</v>
      </c>
      <c r="G16" s="1" t="s">
        <v>27</v>
      </c>
      <c r="H16" s="1">
        <v>31</v>
      </c>
      <c r="I16" s="2">
        <v>43043</v>
      </c>
      <c r="J16" s="2" t="str">
        <f t="shared" si="0"/>
        <v>November</v>
      </c>
      <c r="K16" s="3">
        <v>97078</v>
      </c>
      <c r="L16" s="4">
        <v>0</v>
      </c>
      <c r="M16" s="1" t="s">
        <v>20</v>
      </c>
      <c r="N16" s="1" t="s">
        <v>59</v>
      </c>
    </row>
    <row r="17" spans="1:14" x14ac:dyDescent="0.3">
      <c r="A17" s="1" t="s">
        <v>76</v>
      </c>
      <c r="B17" s="1" t="s">
        <v>77</v>
      </c>
      <c r="C17" s="1" t="s">
        <v>78</v>
      </c>
      <c r="D17" s="1" t="s">
        <v>79</v>
      </c>
      <c r="E17" s="1" t="s">
        <v>17</v>
      </c>
      <c r="F17" s="1" t="s">
        <v>18</v>
      </c>
      <c r="G17" s="1" t="s">
        <v>27</v>
      </c>
      <c r="H17" s="1">
        <v>41</v>
      </c>
      <c r="I17" s="2">
        <v>41346</v>
      </c>
      <c r="J17" s="2" t="str">
        <f t="shared" si="0"/>
        <v>March</v>
      </c>
      <c r="K17" s="3">
        <v>249270</v>
      </c>
      <c r="L17" s="4">
        <v>0.3</v>
      </c>
      <c r="M17" s="1" t="s">
        <v>20</v>
      </c>
      <c r="N17" s="1" t="s">
        <v>21</v>
      </c>
    </row>
    <row r="18" spans="1:14" x14ac:dyDescent="0.3">
      <c r="A18" s="1" t="s">
        <v>80</v>
      </c>
      <c r="B18" s="1" t="s">
        <v>81</v>
      </c>
      <c r="C18" s="1" t="s">
        <v>32</v>
      </c>
      <c r="D18" s="1" t="s">
        <v>33</v>
      </c>
      <c r="E18" s="1" t="s">
        <v>17</v>
      </c>
      <c r="F18" s="1" t="s">
        <v>18</v>
      </c>
      <c r="G18" s="1" t="s">
        <v>19</v>
      </c>
      <c r="H18" s="1">
        <v>65</v>
      </c>
      <c r="I18" s="2">
        <v>37319</v>
      </c>
      <c r="J18" s="2" t="str">
        <f t="shared" si="0"/>
        <v>March</v>
      </c>
      <c r="K18" s="3">
        <v>175837</v>
      </c>
      <c r="L18" s="4">
        <v>0.2</v>
      </c>
      <c r="M18" s="1" t="s">
        <v>20</v>
      </c>
      <c r="N18" s="1" t="s">
        <v>43</v>
      </c>
    </row>
    <row r="19" spans="1:14" x14ac:dyDescent="0.3">
      <c r="A19" s="1" t="s">
        <v>82</v>
      </c>
      <c r="B19" s="1" t="s">
        <v>83</v>
      </c>
      <c r="C19" s="1" t="s">
        <v>15</v>
      </c>
      <c r="D19" s="1" t="s">
        <v>79</v>
      </c>
      <c r="E19" s="1" t="s">
        <v>34</v>
      </c>
      <c r="F19" s="1" t="s">
        <v>18</v>
      </c>
      <c r="G19" s="1" t="s">
        <v>84</v>
      </c>
      <c r="H19" s="1">
        <v>64</v>
      </c>
      <c r="I19" s="2">
        <v>37956</v>
      </c>
      <c r="J19" s="2" t="str">
        <f t="shared" si="0"/>
        <v>December</v>
      </c>
      <c r="K19" s="3">
        <v>154828</v>
      </c>
      <c r="L19" s="4">
        <v>0.13</v>
      </c>
      <c r="M19" s="1" t="s">
        <v>20</v>
      </c>
      <c r="N19" s="1" t="s">
        <v>21</v>
      </c>
    </row>
    <row r="20" spans="1:14" x14ac:dyDescent="0.3">
      <c r="A20" s="1" t="s">
        <v>85</v>
      </c>
      <c r="B20" s="1" t="s">
        <v>86</v>
      </c>
      <c r="C20" s="1" t="s">
        <v>32</v>
      </c>
      <c r="D20" s="1" t="s">
        <v>16</v>
      </c>
      <c r="E20" s="1" t="s">
        <v>48</v>
      </c>
      <c r="F20" s="1" t="s">
        <v>26</v>
      </c>
      <c r="G20" s="1" t="s">
        <v>35</v>
      </c>
      <c r="H20" s="1">
        <v>64</v>
      </c>
      <c r="I20" s="2">
        <v>41581</v>
      </c>
      <c r="J20" s="2" t="str">
        <f t="shared" si="0"/>
        <v>November</v>
      </c>
      <c r="K20" s="3">
        <v>186503</v>
      </c>
      <c r="L20" s="4">
        <v>0.24</v>
      </c>
      <c r="M20" s="1" t="s">
        <v>20</v>
      </c>
      <c r="N20" s="1" t="s">
        <v>87</v>
      </c>
    </row>
    <row r="21" spans="1:14" x14ac:dyDescent="0.3">
      <c r="A21" s="1" t="s">
        <v>88</v>
      </c>
      <c r="B21" s="1" t="s">
        <v>89</v>
      </c>
      <c r="C21" s="1" t="s">
        <v>32</v>
      </c>
      <c r="D21" s="1" t="s">
        <v>47</v>
      </c>
      <c r="E21" s="1" t="s">
        <v>17</v>
      </c>
      <c r="F21" s="1" t="s">
        <v>26</v>
      </c>
      <c r="G21" s="1" t="s">
        <v>27</v>
      </c>
      <c r="H21" s="1">
        <v>45</v>
      </c>
      <c r="I21" s="2">
        <v>37446</v>
      </c>
      <c r="J21" s="2" t="str">
        <f t="shared" si="0"/>
        <v>July</v>
      </c>
      <c r="K21" s="3">
        <v>166331</v>
      </c>
      <c r="L21" s="4">
        <v>0.18</v>
      </c>
      <c r="M21" s="1" t="s">
        <v>28</v>
      </c>
      <c r="N21" s="1" t="s">
        <v>29</v>
      </c>
    </row>
    <row r="22" spans="1:14" x14ac:dyDescent="0.3">
      <c r="A22" s="1" t="s">
        <v>90</v>
      </c>
      <c r="B22" s="1" t="s">
        <v>91</v>
      </c>
      <c r="C22" s="1" t="s">
        <v>15</v>
      </c>
      <c r="D22" s="1" t="s">
        <v>16</v>
      </c>
      <c r="E22" s="1" t="s">
        <v>25</v>
      </c>
      <c r="F22" s="1" t="s">
        <v>26</v>
      </c>
      <c r="G22" s="1" t="s">
        <v>84</v>
      </c>
      <c r="H22" s="1">
        <v>56</v>
      </c>
      <c r="I22" s="2">
        <v>40917</v>
      </c>
      <c r="J22" s="2" t="str">
        <f t="shared" si="0"/>
        <v>January</v>
      </c>
      <c r="K22" s="3">
        <v>146140</v>
      </c>
      <c r="L22" s="4">
        <v>0.1</v>
      </c>
      <c r="M22" s="1" t="s">
        <v>92</v>
      </c>
      <c r="N22" s="1" t="s">
        <v>93</v>
      </c>
    </row>
    <row r="23" spans="1:14" x14ac:dyDescent="0.3">
      <c r="A23" s="1" t="s">
        <v>94</v>
      </c>
      <c r="B23" s="1" t="s">
        <v>95</v>
      </c>
      <c r="C23" s="1" t="s">
        <v>32</v>
      </c>
      <c r="D23" s="1" t="s">
        <v>47</v>
      </c>
      <c r="E23" s="1" t="s">
        <v>25</v>
      </c>
      <c r="F23" s="1" t="s">
        <v>18</v>
      </c>
      <c r="G23" s="1" t="s">
        <v>84</v>
      </c>
      <c r="H23" s="1">
        <v>36</v>
      </c>
      <c r="I23" s="2">
        <v>44288</v>
      </c>
      <c r="J23" s="2" t="str">
        <f t="shared" si="0"/>
        <v>April</v>
      </c>
      <c r="K23" s="3">
        <v>151703</v>
      </c>
      <c r="L23" s="4">
        <v>0.21</v>
      </c>
      <c r="M23" s="1" t="s">
        <v>20</v>
      </c>
      <c r="N23" s="1" t="s">
        <v>55</v>
      </c>
    </row>
    <row r="24" spans="1:14" x14ac:dyDescent="0.3">
      <c r="A24" s="1" t="s">
        <v>96</v>
      </c>
      <c r="B24" s="1" t="s">
        <v>97</v>
      </c>
      <c r="C24" s="1" t="s">
        <v>32</v>
      </c>
      <c r="D24" s="1" t="s">
        <v>16</v>
      </c>
      <c r="E24" s="1" t="s">
        <v>17</v>
      </c>
      <c r="F24" s="1" t="s">
        <v>26</v>
      </c>
      <c r="G24" s="1" t="s">
        <v>84</v>
      </c>
      <c r="H24" s="1">
        <v>59</v>
      </c>
      <c r="I24" s="2">
        <v>37400</v>
      </c>
      <c r="J24" s="2" t="str">
        <f t="shared" si="0"/>
        <v>May</v>
      </c>
      <c r="K24" s="3">
        <v>172787</v>
      </c>
      <c r="L24" s="4">
        <v>0.28000000000000003</v>
      </c>
      <c r="M24" s="1" t="s">
        <v>92</v>
      </c>
      <c r="N24" s="1" t="s">
        <v>98</v>
      </c>
    </row>
    <row r="25" spans="1:14" x14ac:dyDescent="0.3">
      <c r="A25" s="1" t="s">
        <v>99</v>
      </c>
      <c r="B25" s="1" t="s">
        <v>100</v>
      </c>
      <c r="C25" s="1" t="s">
        <v>54</v>
      </c>
      <c r="D25" s="1" t="s">
        <v>47</v>
      </c>
      <c r="E25" s="1" t="s">
        <v>34</v>
      </c>
      <c r="F25" s="1" t="s">
        <v>26</v>
      </c>
      <c r="G25" s="1" t="s">
        <v>35</v>
      </c>
      <c r="H25" s="1">
        <v>37</v>
      </c>
      <c r="I25" s="2">
        <v>43713</v>
      </c>
      <c r="J25" s="2" t="str">
        <f t="shared" si="0"/>
        <v>September</v>
      </c>
      <c r="K25" s="3">
        <v>49998</v>
      </c>
      <c r="L25" s="4">
        <v>0</v>
      </c>
      <c r="M25" s="1" t="s">
        <v>20</v>
      </c>
      <c r="N25" s="1" t="s">
        <v>21</v>
      </c>
    </row>
    <row r="26" spans="1:14" x14ac:dyDescent="0.3">
      <c r="A26" s="1" t="s">
        <v>101</v>
      </c>
      <c r="B26" s="1" t="s">
        <v>102</v>
      </c>
      <c r="C26" s="1" t="s">
        <v>78</v>
      </c>
      <c r="D26" s="1" t="s">
        <v>47</v>
      </c>
      <c r="E26" s="1" t="s">
        <v>34</v>
      </c>
      <c r="F26" s="1" t="s">
        <v>26</v>
      </c>
      <c r="G26" s="1" t="s">
        <v>27</v>
      </c>
      <c r="H26" s="1">
        <v>44</v>
      </c>
      <c r="I26" s="2">
        <v>41700</v>
      </c>
      <c r="J26" s="2" t="str">
        <f t="shared" si="0"/>
        <v>March</v>
      </c>
      <c r="K26" s="3">
        <v>207172</v>
      </c>
      <c r="L26" s="4">
        <v>0.31</v>
      </c>
      <c r="M26" s="1" t="s">
        <v>28</v>
      </c>
      <c r="N26" s="1" t="s">
        <v>29</v>
      </c>
    </row>
    <row r="27" spans="1:14" x14ac:dyDescent="0.3">
      <c r="A27" s="1" t="s">
        <v>103</v>
      </c>
      <c r="B27" s="1" t="s">
        <v>104</v>
      </c>
      <c r="C27" s="1" t="s">
        <v>32</v>
      </c>
      <c r="D27" s="1" t="s">
        <v>64</v>
      </c>
      <c r="E27" s="1" t="s">
        <v>34</v>
      </c>
      <c r="F27" s="1" t="s">
        <v>26</v>
      </c>
      <c r="G27" s="1" t="s">
        <v>19</v>
      </c>
      <c r="H27" s="1">
        <v>41</v>
      </c>
      <c r="I27" s="2">
        <v>42111</v>
      </c>
      <c r="J27" s="2" t="str">
        <f t="shared" si="0"/>
        <v>April</v>
      </c>
      <c r="K27" s="3">
        <v>152239</v>
      </c>
      <c r="L27" s="4">
        <v>0.23</v>
      </c>
      <c r="M27" s="1" t="s">
        <v>20</v>
      </c>
      <c r="N27" s="1" t="s">
        <v>87</v>
      </c>
    </row>
    <row r="28" spans="1:14" x14ac:dyDescent="0.3">
      <c r="A28" s="1" t="s">
        <v>105</v>
      </c>
      <c r="B28" s="1" t="s">
        <v>106</v>
      </c>
      <c r="C28" s="1" t="s">
        <v>107</v>
      </c>
      <c r="D28" s="1" t="s">
        <v>68</v>
      </c>
      <c r="E28" s="1" t="s">
        <v>48</v>
      </c>
      <c r="F28" s="1" t="s">
        <v>18</v>
      </c>
      <c r="G28" s="1" t="s">
        <v>84</v>
      </c>
      <c r="H28" s="1">
        <v>56</v>
      </c>
      <c r="I28" s="2">
        <v>38388</v>
      </c>
      <c r="J28" s="2" t="str">
        <f t="shared" si="0"/>
        <v>February</v>
      </c>
      <c r="K28" s="3">
        <v>98581</v>
      </c>
      <c r="L28" s="4">
        <v>0</v>
      </c>
      <c r="M28" s="1" t="s">
        <v>92</v>
      </c>
      <c r="N28" s="1" t="s">
        <v>98</v>
      </c>
    </row>
    <row r="29" spans="1:14" x14ac:dyDescent="0.3">
      <c r="A29" s="1" t="s">
        <v>108</v>
      </c>
      <c r="B29" s="1" t="s">
        <v>109</v>
      </c>
      <c r="C29" s="1" t="s">
        <v>78</v>
      </c>
      <c r="D29" s="1" t="s">
        <v>68</v>
      </c>
      <c r="E29" s="1" t="s">
        <v>34</v>
      </c>
      <c r="F29" s="1" t="s">
        <v>26</v>
      </c>
      <c r="G29" s="1" t="s">
        <v>27</v>
      </c>
      <c r="H29" s="1">
        <v>43</v>
      </c>
      <c r="I29" s="2">
        <v>38145</v>
      </c>
      <c r="J29" s="2" t="str">
        <f t="shared" si="0"/>
        <v>June</v>
      </c>
      <c r="K29" s="3">
        <v>246231</v>
      </c>
      <c r="L29" s="4">
        <v>0.31</v>
      </c>
      <c r="M29" s="1" t="s">
        <v>20</v>
      </c>
      <c r="N29" s="1" t="s">
        <v>21</v>
      </c>
    </row>
    <row r="30" spans="1:14" x14ac:dyDescent="0.3">
      <c r="A30" s="1" t="s">
        <v>110</v>
      </c>
      <c r="B30" s="1" t="s">
        <v>111</v>
      </c>
      <c r="C30" s="1" t="s">
        <v>112</v>
      </c>
      <c r="D30" s="1" t="s">
        <v>68</v>
      </c>
      <c r="E30" s="1" t="s">
        <v>34</v>
      </c>
      <c r="F30" s="1" t="s">
        <v>26</v>
      </c>
      <c r="G30" s="1" t="s">
        <v>27</v>
      </c>
      <c r="H30" s="1">
        <v>64</v>
      </c>
      <c r="I30" s="2">
        <v>35403</v>
      </c>
      <c r="J30" s="2" t="str">
        <f t="shared" si="0"/>
        <v>December</v>
      </c>
      <c r="K30" s="3">
        <v>99354</v>
      </c>
      <c r="L30" s="4">
        <v>0.12</v>
      </c>
      <c r="M30" s="1" t="s">
        <v>28</v>
      </c>
      <c r="N30" s="1" t="s">
        <v>113</v>
      </c>
    </row>
    <row r="31" spans="1:14" x14ac:dyDescent="0.3">
      <c r="A31" s="1" t="s">
        <v>114</v>
      </c>
      <c r="B31" s="1" t="s">
        <v>115</v>
      </c>
      <c r="C31" s="1" t="s">
        <v>78</v>
      </c>
      <c r="D31" s="1" t="s">
        <v>16</v>
      </c>
      <c r="E31" s="1" t="s">
        <v>48</v>
      </c>
      <c r="F31" s="1" t="s">
        <v>26</v>
      </c>
      <c r="G31" s="1" t="s">
        <v>27</v>
      </c>
      <c r="H31" s="1">
        <v>63</v>
      </c>
      <c r="I31" s="2">
        <v>41040</v>
      </c>
      <c r="J31" s="2" t="str">
        <f t="shared" si="0"/>
        <v>May</v>
      </c>
      <c r="K31" s="3">
        <v>231141</v>
      </c>
      <c r="L31" s="4">
        <v>0.34</v>
      </c>
      <c r="M31" s="1" t="s">
        <v>28</v>
      </c>
      <c r="N31" s="1" t="s">
        <v>113</v>
      </c>
    </row>
    <row r="32" spans="1:14" x14ac:dyDescent="0.3">
      <c r="A32" s="1" t="s">
        <v>116</v>
      </c>
      <c r="B32" s="1" t="s">
        <v>117</v>
      </c>
      <c r="C32" s="1" t="s">
        <v>118</v>
      </c>
      <c r="D32" s="1" t="s">
        <v>16</v>
      </c>
      <c r="E32" s="1" t="s">
        <v>17</v>
      </c>
      <c r="F32" s="1" t="s">
        <v>26</v>
      </c>
      <c r="G32" s="1" t="s">
        <v>27</v>
      </c>
      <c r="H32" s="1">
        <v>28</v>
      </c>
      <c r="I32" s="2">
        <v>42911</v>
      </c>
      <c r="J32" s="2" t="str">
        <f t="shared" si="0"/>
        <v>June</v>
      </c>
      <c r="K32" s="3">
        <v>54775</v>
      </c>
      <c r="L32" s="4">
        <v>0</v>
      </c>
      <c r="M32" s="1" t="s">
        <v>20</v>
      </c>
      <c r="N32" s="1" t="s">
        <v>87</v>
      </c>
    </row>
    <row r="33" spans="1:14" x14ac:dyDescent="0.3">
      <c r="A33" s="1" t="s">
        <v>119</v>
      </c>
      <c r="B33" s="1" t="s">
        <v>120</v>
      </c>
      <c r="C33" s="1" t="s">
        <v>54</v>
      </c>
      <c r="D33" s="1" t="s">
        <v>33</v>
      </c>
      <c r="E33" s="1" t="s">
        <v>25</v>
      </c>
      <c r="F33" s="1" t="s">
        <v>26</v>
      </c>
      <c r="G33" s="1" t="s">
        <v>84</v>
      </c>
      <c r="H33" s="1">
        <v>65</v>
      </c>
      <c r="I33" s="2">
        <v>38123</v>
      </c>
      <c r="J33" s="2" t="str">
        <f t="shared" si="0"/>
        <v>May</v>
      </c>
      <c r="K33" s="3">
        <v>55499</v>
      </c>
      <c r="L33" s="4">
        <v>0</v>
      </c>
      <c r="M33" s="1" t="s">
        <v>92</v>
      </c>
      <c r="N33" s="1" t="s">
        <v>93</v>
      </c>
    </row>
    <row r="34" spans="1:14" x14ac:dyDescent="0.3">
      <c r="A34" s="1" t="s">
        <v>121</v>
      </c>
      <c r="B34" s="1" t="s">
        <v>122</v>
      </c>
      <c r="C34" s="1" t="s">
        <v>123</v>
      </c>
      <c r="D34" s="1" t="s">
        <v>47</v>
      </c>
      <c r="E34" s="1" t="s">
        <v>17</v>
      </c>
      <c r="F34" s="1" t="s">
        <v>26</v>
      </c>
      <c r="G34" s="1" t="s">
        <v>35</v>
      </c>
      <c r="H34" s="1">
        <v>61</v>
      </c>
      <c r="I34" s="2">
        <v>39640</v>
      </c>
      <c r="J34" s="2" t="str">
        <f t="shared" si="0"/>
        <v>July</v>
      </c>
      <c r="K34" s="3">
        <v>66521</v>
      </c>
      <c r="L34" s="4">
        <v>0</v>
      </c>
      <c r="M34" s="1" t="s">
        <v>20</v>
      </c>
      <c r="N34" s="1" t="s">
        <v>21</v>
      </c>
    </row>
    <row r="35" spans="1:14" x14ac:dyDescent="0.3">
      <c r="A35" s="1" t="s">
        <v>124</v>
      </c>
      <c r="B35" s="1" t="s">
        <v>125</v>
      </c>
      <c r="C35" s="1" t="s">
        <v>46</v>
      </c>
      <c r="D35" s="1" t="s">
        <v>47</v>
      </c>
      <c r="E35" s="1" t="s">
        <v>34</v>
      </c>
      <c r="F35" s="1" t="s">
        <v>26</v>
      </c>
      <c r="G35" s="1" t="s">
        <v>27</v>
      </c>
      <c r="H35" s="1">
        <v>30</v>
      </c>
      <c r="I35" s="2">
        <v>42642</v>
      </c>
      <c r="J35" s="2" t="str">
        <f t="shared" si="0"/>
        <v>September</v>
      </c>
      <c r="K35" s="3">
        <v>59100</v>
      </c>
      <c r="L35" s="4">
        <v>0</v>
      </c>
      <c r="M35" s="1" t="s">
        <v>28</v>
      </c>
      <c r="N35" s="1" t="s">
        <v>29</v>
      </c>
    </row>
    <row r="36" spans="1:14" x14ac:dyDescent="0.3">
      <c r="A36" s="1" t="s">
        <v>126</v>
      </c>
      <c r="B36" s="1" t="s">
        <v>127</v>
      </c>
      <c r="C36" s="1" t="s">
        <v>54</v>
      </c>
      <c r="D36" s="1" t="s">
        <v>33</v>
      </c>
      <c r="E36" s="1" t="s">
        <v>17</v>
      </c>
      <c r="F36" s="1" t="s">
        <v>18</v>
      </c>
      <c r="G36" s="1" t="s">
        <v>35</v>
      </c>
      <c r="H36" s="1">
        <v>27</v>
      </c>
      <c r="I36" s="2">
        <v>43226</v>
      </c>
      <c r="J36" s="2" t="str">
        <f t="shared" si="0"/>
        <v>May</v>
      </c>
      <c r="K36" s="3">
        <v>49011</v>
      </c>
      <c r="L36" s="4">
        <v>0</v>
      </c>
      <c r="M36" s="1" t="s">
        <v>20</v>
      </c>
      <c r="N36" s="1" t="s">
        <v>36</v>
      </c>
    </row>
    <row r="37" spans="1:14" x14ac:dyDescent="0.3">
      <c r="A37" s="1" t="s">
        <v>128</v>
      </c>
      <c r="B37" s="1" t="s">
        <v>129</v>
      </c>
      <c r="C37" s="1" t="s">
        <v>130</v>
      </c>
      <c r="D37" s="1" t="s">
        <v>16</v>
      </c>
      <c r="E37" s="1" t="s">
        <v>25</v>
      </c>
      <c r="F37" s="1" t="s">
        <v>18</v>
      </c>
      <c r="G37" s="1" t="s">
        <v>35</v>
      </c>
      <c r="H37" s="1">
        <v>32</v>
      </c>
      <c r="I37" s="2">
        <v>41681</v>
      </c>
      <c r="J37" s="2" t="str">
        <f t="shared" si="0"/>
        <v>February</v>
      </c>
      <c r="K37" s="3">
        <v>99575</v>
      </c>
      <c r="L37" s="4">
        <v>0</v>
      </c>
      <c r="M37" s="1" t="s">
        <v>20</v>
      </c>
      <c r="N37" s="1" t="s">
        <v>59</v>
      </c>
    </row>
    <row r="38" spans="1:14" x14ac:dyDescent="0.3">
      <c r="A38" s="1" t="s">
        <v>131</v>
      </c>
      <c r="B38" s="1" t="s">
        <v>132</v>
      </c>
      <c r="C38" s="1" t="s">
        <v>67</v>
      </c>
      <c r="D38" s="1" t="s">
        <v>68</v>
      </c>
      <c r="E38" s="1" t="s">
        <v>25</v>
      </c>
      <c r="F38" s="1" t="s">
        <v>18</v>
      </c>
      <c r="G38" s="1" t="s">
        <v>27</v>
      </c>
      <c r="H38" s="1">
        <v>34</v>
      </c>
      <c r="I38" s="2">
        <v>43815</v>
      </c>
      <c r="J38" s="2" t="str">
        <f t="shared" si="0"/>
        <v>December</v>
      </c>
      <c r="K38" s="3">
        <v>99989</v>
      </c>
      <c r="L38" s="4">
        <v>0</v>
      </c>
      <c r="M38" s="1" t="s">
        <v>28</v>
      </c>
      <c r="N38" s="1" t="s">
        <v>133</v>
      </c>
    </row>
    <row r="39" spans="1:14" x14ac:dyDescent="0.3">
      <c r="A39" s="1" t="s">
        <v>134</v>
      </c>
      <c r="B39" s="1" t="s">
        <v>135</v>
      </c>
      <c r="C39" s="1" t="s">
        <v>78</v>
      </c>
      <c r="D39" s="1" t="s">
        <v>79</v>
      </c>
      <c r="E39" s="1" t="s">
        <v>17</v>
      </c>
      <c r="F39" s="1" t="s">
        <v>26</v>
      </c>
      <c r="G39" s="1" t="s">
        <v>35</v>
      </c>
      <c r="H39" s="1">
        <v>27</v>
      </c>
      <c r="I39" s="2">
        <v>43758</v>
      </c>
      <c r="J39" s="2" t="str">
        <f t="shared" si="0"/>
        <v>October</v>
      </c>
      <c r="K39" s="3">
        <v>256420</v>
      </c>
      <c r="L39" s="4">
        <v>0.3</v>
      </c>
      <c r="M39" s="1" t="s">
        <v>20</v>
      </c>
      <c r="N39" s="1" t="s">
        <v>43</v>
      </c>
    </row>
    <row r="40" spans="1:14" x14ac:dyDescent="0.3">
      <c r="A40" s="1" t="s">
        <v>136</v>
      </c>
      <c r="B40" s="1" t="s">
        <v>137</v>
      </c>
      <c r="C40" s="1" t="s">
        <v>24</v>
      </c>
      <c r="D40" s="1" t="s">
        <v>16</v>
      </c>
      <c r="E40" s="1" t="s">
        <v>25</v>
      </c>
      <c r="F40" s="1" t="s">
        <v>18</v>
      </c>
      <c r="G40" s="1" t="s">
        <v>84</v>
      </c>
      <c r="H40" s="1">
        <v>35</v>
      </c>
      <c r="I40" s="2">
        <v>41409</v>
      </c>
      <c r="J40" s="2" t="str">
        <f t="shared" si="0"/>
        <v>May</v>
      </c>
      <c r="K40" s="3">
        <v>78940</v>
      </c>
      <c r="L40" s="4">
        <v>0</v>
      </c>
      <c r="M40" s="1" t="s">
        <v>20</v>
      </c>
      <c r="N40" s="1" t="s">
        <v>55</v>
      </c>
    </row>
    <row r="41" spans="1:14" x14ac:dyDescent="0.3">
      <c r="A41" s="1" t="s">
        <v>138</v>
      </c>
      <c r="B41" s="1" t="s">
        <v>139</v>
      </c>
      <c r="C41" s="1" t="s">
        <v>130</v>
      </c>
      <c r="D41" s="1" t="s">
        <v>16</v>
      </c>
      <c r="E41" s="1" t="s">
        <v>48</v>
      </c>
      <c r="F41" s="1" t="s">
        <v>18</v>
      </c>
      <c r="G41" s="1" t="s">
        <v>84</v>
      </c>
      <c r="H41" s="1">
        <v>57</v>
      </c>
      <c r="I41" s="2">
        <v>34337</v>
      </c>
      <c r="J41" s="2" t="str">
        <f t="shared" si="0"/>
        <v>January</v>
      </c>
      <c r="K41" s="3">
        <v>82872</v>
      </c>
      <c r="L41" s="4">
        <v>0</v>
      </c>
      <c r="M41" s="1" t="s">
        <v>92</v>
      </c>
      <c r="N41" s="1" t="s">
        <v>93</v>
      </c>
    </row>
    <row r="42" spans="1:14" x14ac:dyDescent="0.3">
      <c r="A42" s="1" t="s">
        <v>140</v>
      </c>
      <c r="B42" s="1" t="s">
        <v>141</v>
      </c>
      <c r="C42" s="1" t="s">
        <v>142</v>
      </c>
      <c r="D42" s="1" t="s">
        <v>64</v>
      </c>
      <c r="E42" s="1" t="s">
        <v>34</v>
      </c>
      <c r="F42" s="1" t="s">
        <v>26</v>
      </c>
      <c r="G42" s="1" t="s">
        <v>27</v>
      </c>
      <c r="H42" s="1">
        <v>30</v>
      </c>
      <c r="I42" s="2">
        <v>42884</v>
      </c>
      <c r="J42" s="2" t="str">
        <f t="shared" si="0"/>
        <v>May</v>
      </c>
      <c r="K42" s="3">
        <v>86317</v>
      </c>
      <c r="L42" s="4">
        <v>0</v>
      </c>
      <c r="M42" s="1" t="s">
        <v>28</v>
      </c>
      <c r="N42" s="1" t="s">
        <v>133</v>
      </c>
    </row>
    <row r="43" spans="1:14" x14ac:dyDescent="0.3">
      <c r="A43" s="1" t="s">
        <v>143</v>
      </c>
      <c r="B43" s="1" t="s">
        <v>144</v>
      </c>
      <c r="C43" s="1" t="s">
        <v>51</v>
      </c>
      <c r="D43" s="1" t="s">
        <v>79</v>
      </c>
      <c r="E43" s="1" t="s">
        <v>34</v>
      </c>
      <c r="F43" s="1" t="s">
        <v>18</v>
      </c>
      <c r="G43" s="1" t="s">
        <v>35</v>
      </c>
      <c r="H43" s="1">
        <v>53</v>
      </c>
      <c r="I43" s="2">
        <v>41601</v>
      </c>
      <c r="J43" s="2" t="str">
        <f t="shared" si="0"/>
        <v>November</v>
      </c>
      <c r="K43" s="3">
        <v>113135</v>
      </c>
      <c r="L43" s="4">
        <v>0.05</v>
      </c>
      <c r="M43" s="1" t="s">
        <v>20</v>
      </c>
      <c r="N43" s="1" t="s">
        <v>59</v>
      </c>
    </row>
    <row r="44" spans="1:14" x14ac:dyDescent="0.3">
      <c r="A44" s="1" t="s">
        <v>145</v>
      </c>
      <c r="B44" s="1" t="s">
        <v>146</v>
      </c>
      <c r="C44" s="1" t="s">
        <v>78</v>
      </c>
      <c r="D44" s="1" t="s">
        <v>16</v>
      </c>
      <c r="E44" s="1" t="s">
        <v>34</v>
      </c>
      <c r="F44" s="1" t="s">
        <v>26</v>
      </c>
      <c r="G44" s="1" t="s">
        <v>35</v>
      </c>
      <c r="H44" s="1">
        <v>52</v>
      </c>
      <c r="I44" s="2">
        <v>38664</v>
      </c>
      <c r="J44" s="2" t="str">
        <f t="shared" si="0"/>
        <v>November</v>
      </c>
      <c r="K44" s="3">
        <v>199808</v>
      </c>
      <c r="L44" s="4">
        <v>0.32</v>
      </c>
      <c r="M44" s="1" t="s">
        <v>20</v>
      </c>
      <c r="N44" s="1" t="s">
        <v>21</v>
      </c>
    </row>
    <row r="45" spans="1:14" x14ac:dyDescent="0.3">
      <c r="A45" s="1" t="s">
        <v>147</v>
      </c>
      <c r="B45" s="1" t="s">
        <v>148</v>
      </c>
      <c r="C45" s="1" t="s">
        <v>46</v>
      </c>
      <c r="D45" s="1" t="s">
        <v>47</v>
      </c>
      <c r="E45" s="1" t="s">
        <v>34</v>
      </c>
      <c r="F45" s="1" t="s">
        <v>26</v>
      </c>
      <c r="G45" s="1" t="s">
        <v>27</v>
      </c>
      <c r="H45" s="1">
        <v>37</v>
      </c>
      <c r="I45" s="2">
        <v>41592</v>
      </c>
      <c r="J45" s="2" t="str">
        <f t="shared" si="0"/>
        <v>November</v>
      </c>
      <c r="K45" s="3">
        <v>56037</v>
      </c>
      <c r="L45" s="4">
        <v>0</v>
      </c>
      <c r="M45" s="1" t="s">
        <v>28</v>
      </c>
      <c r="N45" s="1" t="s">
        <v>73</v>
      </c>
    </row>
    <row r="46" spans="1:14" x14ac:dyDescent="0.3">
      <c r="A46" s="1" t="s">
        <v>149</v>
      </c>
      <c r="B46" s="1" t="s">
        <v>150</v>
      </c>
      <c r="C46" s="1" t="s">
        <v>15</v>
      </c>
      <c r="D46" s="1" t="s">
        <v>79</v>
      </c>
      <c r="E46" s="1" t="s">
        <v>17</v>
      </c>
      <c r="F46" s="1" t="s">
        <v>18</v>
      </c>
      <c r="G46" s="1" t="s">
        <v>35</v>
      </c>
      <c r="H46" s="1">
        <v>29</v>
      </c>
      <c r="I46" s="2">
        <v>43609</v>
      </c>
      <c r="J46" s="2" t="str">
        <f t="shared" si="0"/>
        <v>May</v>
      </c>
      <c r="K46" s="3">
        <v>122350</v>
      </c>
      <c r="L46" s="4">
        <v>0.12</v>
      </c>
      <c r="M46" s="1" t="s">
        <v>20</v>
      </c>
      <c r="N46" s="1" t="s">
        <v>43</v>
      </c>
    </row>
    <row r="47" spans="1:14" x14ac:dyDescent="0.3">
      <c r="A47" s="1" t="s">
        <v>151</v>
      </c>
      <c r="B47" s="1" t="s">
        <v>152</v>
      </c>
      <c r="C47" s="1" t="s">
        <v>130</v>
      </c>
      <c r="D47" s="1" t="s">
        <v>16</v>
      </c>
      <c r="E47" s="1" t="s">
        <v>17</v>
      </c>
      <c r="F47" s="1" t="s">
        <v>26</v>
      </c>
      <c r="G47" s="1" t="s">
        <v>35</v>
      </c>
      <c r="H47" s="1">
        <v>40</v>
      </c>
      <c r="I47" s="2">
        <v>40486</v>
      </c>
      <c r="J47" s="2" t="str">
        <f t="shared" si="0"/>
        <v>November</v>
      </c>
      <c r="K47" s="3">
        <v>92952</v>
      </c>
      <c r="L47" s="4">
        <v>0</v>
      </c>
      <c r="M47" s="1" t="s">
        <v>20</v>
      </c>
      <c r="N47" s="1" t="s">
        <v>21</v>
      </c>
    </row>
    <row r="48" spans="1:14" x14ac:dyDescent="0.3">
      <c r="A48" s="1" t="s">
        <v>153</v>
      </c>
      <c r="B48" s="1" t="s">
        <v>154</v>
      </c>
      <c r="C48" s="1" t="s">
        <v>39</v>
      </c>
      <c r="D48" s="1" t="s">
        <v>16</v>
      </c>
      <c r="E48" s="1" t="s">
        <v>48</v>
      </c>
      <c r="F48" s="1" t="s">
        <v>26</v>
      </c>
      <c r="G48" s="1" t="s">
        <v>84</v>
      </c>
      <c r="H48" s="1">
        <v>32</v>
      </c>
      <c r="I48" s="2">
        <v>41353</v>
      </c>
      <c r="J48" s="2" t="str">
        <f t="shared" si="0"/>
        <v>March</v>
      </c>
      <c r="K48" s="3">
        <v>79921</v>
      </c>
      <c r="L48" s="4">
        <v>0.05</v>
      </c>
      <c r="M48" s="1" t="s">
        <v>20</v>
      </c>
      <c r="N48" s="1" t="s">
        <v>59</v>
      </c>
    </row>
    <row r="49" spans="1:14" x14ac:dyDescent="0.3">
      <c r="A49" s="1" t="s">
        <v>155</v>
      </c>
      <c r="B49" s="1" t="s">
        <v>156</v>
      </c>
      <c r="C49" s="1" t="s">
        <v>32</v>
      </c>
      <c r="D49" s="1" t="s">
        <v>16</v>
      </c>
      <c r="E49" s="1" t="s">
        <v>17</v>
      </c>
      <c r="F49" s="1" t="s">
        <v>18</v>
      </c>
      <c r="G49" s="1" t="s">
        <v>19</v>
      </c>
      <c r="H49" s="1">
        <v>37</v>
      </c>
      <c r="I49" s="2">
        <v>40076</v>
      </c>
      <c r="J49" s="2" t="str">
        <f t="shared" si="0"/>
        <v>September</v>
      </c>
      <c r="K49" s="3">
        <v>167199</v>
      </c>
      <c r="L49" s="4">
        <v>0.2</v>
      </c>
      <c r="M49" s="1" t="s">
        <v>20</v>
      </c>
      <c r="N49" s="1" t="s">
        <v>21</v>
      </c>
    </row>
    <row r="50" spans="1:14" x14ac:dyDescent="0.3">
      <c r="A50" s="1" t="s">
        <v>157</v>
      </c>
      <c r="B50" s="1" t="s">
        <v>158</v>
      </c>
      <c r="C50" s="1" t="s">
        <v>107</v>
      </c>
      <c r="D50" s="1" t="s">
        <v>68</v>
      </c>
      <c r="E50" s="1" t="s">
        <v>17</v>
      </c>
      <c r="F50" s="1" t="s">
        <v>26</v>
      </c>
      <c r="G50" s="1" t="s">
        <v>35</v>
      </c>
      <c r="H50" s="1">
        <v>52</v>
      </c>
      <c r="I50" s="2">
        <v>41199</v>
      </c>
      <c r="J50" s="2" t="str">
        <f t="shared" si="0"/>
        <v>October</v>
      </c>
      <c r="K50" s="3">
        <v>71476</v>
      </c>
      <c r="L50" s="4">
        <v>0</v>
      </c>
      <c r="M50" s="1" t="s">
        <v>20</v>
      </c>
      <c r="N50" s="1" t="s">
        <v>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AC137-B556-4B57-AD18-0811F437A475}">
  <sheetPr>
    <tabColor theme="9"/>
  </sheetPr>
  <dimension ref="A1:U36"/>
  <sheetViews>
    <sheetView tabSelected="1" workbookViewId="0">
      <selection activeCell="A2" sqref="A2:T27"/>
    </sheetView>
  </sheetViews>
  <sheetFormatPr defaultRowHeight="14.4" x14ac:dyDescent="0.3"/>
  <sheetData>
    <row r="1" spans="1:20" ht="23.4" x14ac:dyDescent="0.45">
      <c r="A1" t="s">
        <v>176</v>
      </c>
      <c r="J1" s="10"/>
      <c r="K1" s="10"/>
      <c r="L1" s="11"/>
      <c r="M1" s="11"/>
      <c r="N1" s="11"/>
      <c r="O1" s="11"/>
      <c r="P1" s="11"/>
      <c r="Q1" s="11"/>
      <c r="R1" s="11"/>
      <c r="S1" s="11"/>
      <c r="T1" s="11"/>
    </row>
    <row r="2" spans="1:20" x14ac:dyDescent="0.3">
      <c r="A2" s="11"/>
      <c r="B2" s="11"/>
      <c r="C2" s="11"/>
      <c r="D2" s="11"/>
      <c r="E2" s="11"/>
      <c r="F2" s="11"/>
      <c r="G2" s="11"/>
      <c r="H2" s="11"/>
      <c r="I2" s="11"/>
      <c r="J2" s="11"/>
      <c r="K2" s="11"/>
      <c r="L2" s="11"/>
      <c r="M2" s="11"/>
      <c r="N2" s="11"/>
      <c r="O2" s="11"/>
      <c r="P2" s="11"/>
      <c r="Q2" s="11"/>
      <c r="R2" s="11"/>
      <c r="S2" s="11"/>
      <c r="T2" s="11"/>
    </row>
    <row r="3" spans="1:20" x14ac:dyDescent="0.3">
      <c r="A3" s="11"/>
      <c r="B3" s="11"/>
      <c r="C3" s="11"/>
      <c r="D3" s="11"/>
      <c r="E3" s="11"/>
      <c r="F3" s="11"/>
      <c r="G3" s="11"/>
      <c r="H3" s="11"/>
      <c r="I3" s="11"/>
      <c r="J3" s="11"/>
      <c r="K3" s="11"/>
      <c r="L3" s="11"/>
      <c r="M3" s="11"/>
      <c r="N3" s="11"/>
      <c r="O3" s="11"/>
      <c r="P3" s="11"/>
      <c r="Q3" s="11"/>
      <c r="R3" s="11"/>
      <c r="S3" s="11"/>
      <c r="T3" s="11"/>
    </row>
    <row r="4" spans="1:20" x14ac:dyDescent="0.3">
      <c r="A4" s="11"/>
      <c r="B4" s="11"/>
      <c r="C4" s="11"/>
      <c r="D4" s="11"/>
      <c r="E4" s="11"/>
      <c r="F4" s="11"/>
      <c r="G4" s="11"/>
      <c r="H4" s="11"/>
      <c r="I4" s="11"/>
      <c r="J4" s="11"/>
      <c r="K4" s="11"/>
      <c r="L4" s="11"/>
      <c r="M4" s="11"/>
      <c r="N4" s="11"/>
      <c r="O4" s="11"/>
      <c r="P4" s="11"/>
      <c r="Q4" s="11"/>
      <c r="R4" s="11"/>
      <c r="S4" s="11"/>
      <c r="T4" s="11"/>
    </row>
    <row r="5" spans="1:20" x14ac:dyDescent="0.3">
      <c r="A5" s="11"/>
      <c r="B5" s="11"/>
      <c r="C5" s="11"/>
      <c r="D5" s="11"/>
      <c r="E5" s="11"/>
      <c r="F5" s="11"/>
      <c r="G5" s="11"/>
      <c r="H5" s="11"/>
      <c r="I5" s="11"/>
      <c r="J5" s="11"/>
      <c r="K5" s="11"/>
      <c r="L5" s="11"/>
      <c r="M5" s="11"/>
      <c r="N5" s="11"/>
      <c r="O5" s="11"/>
      <c r="P5" s="11"/>
      <c r="Q5" s="11"/>
      <c r="R5" s="11"/>
      <c r="S5" s="11"/>
      <c r="T5" s="11"/>
    </row>
    <row r="6" spans="1:20" x14ac:dyDescent="0.3">
      <c r="A6" s="11"/>
      <c r="B6" s="11"/>
      <c r="C6" s="11"/>
      <c r="D6" s="11"/>
      <c r="E6" s="11"/>
      <c r="F6" s="11"/>
      <c r="G6" s="11"/>
      <c r="H6" s="11"/>
      <c r="I6" s="11"/>
      <c r="J6" s="11"/>
      <c r="K6" s="11"/>
      <c r="L6" s="11"/>
      <c r="M6" s="11"/>
      <c r="N6" s="11"/>
      <c r="O6" s="11"/>
      <c r="P6" s="11"/>
      <c r="Q6" s="11"/>
      <c r="R6" s="11"/>
      <c r="S6" s="11"/>
      <c r="T6" s="11"/>
    </row>
    <row r="7" spans="1:20" x14ac:dyDescent="0.3">
      <c r="A7" s="11"/>
      <c r="B7" s="11"/>
      <c r="C7" s="11"/>
      <c r="D7" s="11"/>
      <c r="E7" s="11"/>
      <c r="F7" s="11"/>
      <c r="G7" s="11"/>
      <c r="H7" s="11"/>
      <c r="I7" s="11"/>
      <c r="J7" s="11"/>
      <c r="K7" s="11"/>
      <c r="L7" s="11"/>
      <c r="M7" s="11"/>
      <c r="N7" s="11"/>
      <c r="O7" s="11"/>
      <c r="P7" s="11"/>
      <c r="Q7" s="11"/>
      <c r="R7" s="11"/>
      <c r="S7" s="11"/>
      <c r="T7" s="11"/>
    </row>
    <row r="8" spans="1:20" x14ac:dyDescent="0.3">
      <c r="A8" s="11"/>
      <c r="B8" s="11"/>
      <c r="C8" s="11"/>
      <c r="D8" s="11"/>
      <c r="E8" s="11"/>
      <c r="F8" s="11"/>
      <c r="G8" s="11"/>
      <c r="H8" s="11"/>
      <c r="I8" s="11"/>
      <c r="J8" s="11"/>
      <c r="K8" s="11"/>
      <c r="L8" s="11"/>
      <c r="M8" s="11"/>
      <c r="N8" s="11"/>
      <c r="O8" s="11"/>
      <c r="P8" s="11"/>
      <c r="Q8" s="11"/>
      <c r="R8" s="11"/>
      <c r="S8" s="11"/>
      <c r="T8" s="11"/>
    </row>
    <row r="9" spans="1:20" x14ac:dyDescent="0.3">
      <c r="A9" s="11"/>
      <c r="B9" s="11"/>
      <c r="C9" s="11"/>
      <c r="D9" s="11"/>
      <c r="E9" s="11"/>
      <c r="F9" s="11"/>
      <c r="G9" s="11"/>
      <c r="H9" s="11"/>
      <c r="I9" s="11"/>
      <c r="J9" s="11"/>
      <c r="K9" s="11"/>
      <c r="L9" s="11"/>
      <c r="M9" s="11"/>
      <c r="N9" s="11"/>
      <c r="O9" s="11"/>
      <c r="P9" s="11"/>
      <c r="Q9" s="11"/>
      <c r="R9" s="11"/>
      <c r="S9" s="11"/>
      <c r="T9" s="11"/>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1" x14ac:dyDescent="0.3">
      <c r="A17" s="11"/>
      <c r="B17" s="11"/>
      <c r="C17" s="11"/>
      <c r="D17" s="11"/>
      <c r="E17" s="11"/>
      <c r="F17" s="11"/>
      <c r="G17" s="11"/>
      <c r="H17" s="11"/>
      <c r="I17" s="11"/>
      <c r="J17" s="11"/>
      <c r="K17" s="11"/>
      <c r="L17" s="11"/>
      <c r="M17" s="11"/>
      <c r="N17" s="11"/>
      <c r="O17" s="11"/>
      <c r="P17" s="11"/>
      <c r="Q17" s="11"/>
      <c r="R17" s="11"/>
      <c r="S17" s="11"/>
      <c r="T17" s="11"/>
    </row>
    <row r="18" spans="1:21" x14ac:dyDescent="0.3">
      <c r="A18" s="11"/>
      <c r="B18" s="11"/>
      <c r="C18" s="11"/>
      <c r="D18" s="11"/>
      <c r="E18" s="11"/>
      <c r="F18" s="11"/>
      <c r="G18" s="11"/>
      <c r="H18" s="11"/>
      <c r="I18" s="11"/>
      <c r="J18" s="11"/>
      <c r="K18" s="11"/>
      <c r="L18" s="11"/>
      <c r="M18" s="11"/>
      <c r="N18" s="11"/>
      <c r="O18" s="11"/>
      <c r="P18" s="11"/>
      <c r="Q18" s="11"/>
      <c r="R18" s="11"/>
      <c r="S18" s="11"/>
      <c r="T18" s="11"/>
    </row>
    <row r="19" spans="1:21" x14ac:dyDescent="0.3">
      <c r="A19" s="11"/>
      <c r="B19" s="11"/>
      <c r="C19" s="11"/>
      <c r="D19" s="11"/>
      <c r="E19" s="11"/>
      <c r="F19" s="11"/>
      <c r="G19" s="11"/>
      <c r="H19" s="11"/>
      <c r="I19" s="11"/>
      <c r="J19" s="11"/>
      <c r="K19" s="11"/>
      <c r="L19" s="11"/>
      <c r="M19" s="11"/>
      <c r="N19" s="11"/>
      <c r="O19" s="11"/>
      <c r="P19" s="11"/>
      <c r="Q19" s="11"/>
      <c r="R19" s="11"/>
      <c r="S19" s="11"/>
      <c r="T19" s="11"/>
    </row>
    <row r="20" spans="1:21" x14ac:dyDescent="0.3">
      <c r="A20" s="11"/>
      <c r="B20" s="11"/>
      <c r="C20" s="11"/>
      <c r="D20" s="11"/>
      <c r="E20" s="11"/>
      <c r="F20" s="11"/>
      <c r="G20" s="11"/>
      <c r="H20" s="11"/>
      <c r="I20" s="11"/>
      <c r="J20" s="11"/>
      <c r="K20" s="11"/>
      <c r="L20" s="11"/>
      <c r="M20" s="11"/>
      <c r="N20" s="11"/>
      <c r="O20" s="11"/>
      <c r="P20" s="11"/>
      <c r="Q20" s="11"/>
      <c r="R20" s="11"/>
      <c r="S20" s="11"/>
      <c r="T20" s="11"/>
    </row>
    <row r="21" spans="1:21" x14ac:dyDescent="0.3">
      <c r="A21" s="11"/>
      <c r="B21" s="11"/>
      <c r="C21" s="11"/>
      <c r="D21" s="11"/>
      <c r="E21" s="11"/>
      <c r="F21" s="11"/>
      <c r="G21" s="11"/>
      <c r="H21" s="11"/>
      <c r="I21" s="11"/>
      <c r="J21" s="11"/>
      <c r="K21" s="11"/>
      <c r="L21" s="11"/>
      <c r="M21" s="11"/>
      <c r="N21" s="11"/>
      <c r="O21" s="11"/>
      <c r="P21" s="11"/>
      <c r="Q21" s="11"/>
      <c r="R21" s="11"/>
      <c r="S21" s="11"/>
      <c r="T21" s="11"/>
    </row>
    <row r="22" spans="1:21" x14ac:dyDescent="0.3">
      <c r="A22" s="11"/>
      <c r="B22" s="11"/>
      <c r="C22" s="11"/>
      <c r="D22" s="11"/>
      <c r="E22" s="11"/>
      <c r="F22" s="11"/>
      <c r="G22" s="11"/>
      <c r="H22" s="11"/>
      <c r="I22" s="11"/>
      <c r="J22" s="11"/>
      <c r="K22" s="11"/>
      <c r="L22" s="11"/>
      <c r="M22" s="11"/>
      <c r="N22" s="11"/>
      <c r="O22" s="11"/>
      <c r="P22" s="11"/>
      <c r="Q22" s="11"/>
      <c r="R22" s="11"/>
      <c r="S22" s="11"/>
      <c r="T22" s="11"/>
    </row>
    <row r="23" spans="1:21" x14ac:dyDescent="0.3">
      <c r="A23" s="11"/>
      <c r="B23" s="11"/>
      <c r="C23" s="11"/>
      <c r="D23" s="11"/>
      <c r="E23" s="11"/>
      <c r="F23" s="11"/>
      <c r="G23" s="11"/>
      <c r="H23" s="11"/>
      <c r="I23" s="11"/>
      <c r="J23" s="11"/>
      <c r="K23" s="11"/>
      <c r="L23" s="11"/>
      <c r="M23" s="11"/>
      <c r="N23" s="11"/>
      <c r="O23" s="11"/>
      <c r="P23" s="11"/>
      <c r="Q23" s="11"/>
      <c r="R23" s="11"/>
      <c r="S23" s="11"/>
      <c r="T23" s="11"/>
    </row>
    <row r="24" spans="1:21" x14ac:dyDescent="0.3">
      <c r="A24" s="11"/>
      <c r="B24" s="11"/>
      <c r="C24" s="11"/>
      <c r="D24" s="11"/>
      <c r="E24" s="11"/>
      <c r="F24" s="11"/>
      <c r="G24" s="11"/>
      <c r="H24" s="11"/>
      <c r="I24" s="11"/>
      <c r="J24" s="11"/>
      <c r="K24" s="11"/>
      <c r="L24" s="11"/>
      <c r="M24" s="11"/>
      <c r="N24" s="11"/>
      <c r="O24" s="11"/>
      <c r="P24" s="11"/>
      <c r="Q24" s="11"/>
      <c r="R24" s="11"/>
      <c r="S24" s="11"/>
      <c r="T24" s="11"/>
    </row>
    <row r="25" spans="1:21" x14ac:dyDescent="0.3">
      <c r="A25" s="11"/>
      <c r="B25" s="11"/>
      <c r="C25" s="11"/>
      <c r="D25" s="11"/>
      <c r="E25" s="11"/>
      <c r="F25" s="11"/>
      <c r="G25" s="11"/>
      <c r="H25" s="11"/>
      <c r="I25" s="11"/>
      <c r="J25" s="11"/>
      <c r="K25" s="11"/>
      <c r="L25" s="11"/>
      <c r="M25" s="11"/>
      <c r="N25" s="11"/>
      <c r="O25" s="11"/>
      <c r="P25" s="11"/>
      <c r="Q25" s="11"/>
      <c r="R25" s="11"/>
      <c r="S25" s="11"/>
      <c r="T25" s="11"/>
    </row>
    <row r="26" spans="1:21" x14ac:dyDescent="0.3">
      <c r="A26" s="11"/>
      <c r="B26" s="11"/>
      <c r="C26" s="11"/>
      <c r="D26" s="11"/>
      <c r="E26" s="11"/>
      <c r="F26" s="11"/>
      <c r="G26" s="11"/>
      <c r="H26" s="11"/>
      <c r="I26" s="11"/>
      <c r="J26" s="11"/>
      <c r="K26" s="11"/>
      <c r="L26" s="11"/>
      <c r="M26" s="11"/>
      <c r="N26" s="11"/>
      <c r="O26" s="11"/>
      <c r="P26" s="11"/>
      <c r="Q26" s="11"/>
      <c r="R26" s="11"/>
      <c r="S26" s="11"/>
      <c r="T26" s="11"/>
    </row>
    <row r="27" spans="1:21" x14ac:dyDescent="0.3">
      <c r="A27" s="11"/>
      <c r="B27" s="11"/>
      <c r="C27" s="11"/>
      <c r="D27" s="11"/>
      <c r="E27" s="11"/>
      <c r="F27" s="11"/>
      <c r="G27" s="11"/>
      <c r="H27" s="11"/>
      <c r="I27" s="11"/>
      <c r="J27" s="11"/>
      <c r="K27" s="11"/>
      <c r="L27" s="11"/>
      <c r="M27" s="11"/>
      <c r="N27" s="11"/>
      <c r="O27" s="11"/>
      <c r="P27" s="11"/>
      <c r="Q27" s="11"/>
      <c r="R27" s="11"/>
      <c r="S27" s="11"/>
      <c r="T27" s="11"/>
    </row>
    <row r="28" spans="1:21" x14ac:dyDescent="0.3">
      <c r="A28" s="11"/>
      <c r="B28" s="11"/>
      <c r="C28" s="11"/>
      <c r="D28" s="11"/>
      <c r="E28" s="11"/>
      <c r="F28" s="11"/>
      <c r="G28" s="11"/>
      <c r="H28" s="11"/>
      <c r="I28" s="11"/>
      <c r="J28" s="11"/>
      <c r="K28" s="11"/>
      <c r="L28" s="11"/>
      <c r="M28" s="11"/>
      <c r="N28" s="11"/>
      <c r="O28" s="11"/>
      <c r="P28" s="11"/>
      <c r="Q28" s="11"/>
      <c r="R28" s="11"/>
      <c r="S28" s="11"/>
      <c r="T28" s="11"/>
      <c r="U28" s="11"/>
    </row>
    <row r="29" spans="1:21" x14ac:dyDescent="0.3">
      <c r="A29" s="11"/>
      <c r="B29" s="11"/>
      <c r="C29" s="11"/>
      <c r="D29" s="11"/>
      <c r="E29" s="11"/>
      <c r="F29" s="11"/>
      <c r="G29" s="11"/>
      <c r="H29" s="11"/>
      <c r="I29" s="11"/>
      <c r="J29" s="11"/>
      <c r="K29" s="11"/>
      <c r="L29" s="11"/>
      <c r="M29" s="11"/>
      <c r="N29" s="11"/>
      <c r="O29" s="11"/>
      <c r="P29" s="11"/>
      <c r="Q29" s="11"/>
      <c r="R29" s="11"/>
      <c r="S29" s="11"/>
      <c r="T29" s="11"/>
      <c r="U29" s="11"/>
    </row>
    <row r="30" spans="1:21" x14ac:dyDescent="0.3">
      <c r="A30" s="11"/>
      <c r="B30" s="11"/>
      <c r="C30" s="11"/>
      <c r="D30" s="11"/>
      <c r="E30" s="11"/>
      <c r="F30" s="11"/>
      <c r="G30" s="11"/>
      <c r="H30" s="11"/>
      <c r="I30" s="11"/>
      <c r="J30" s="11"/>
      <c r="K30" s="11"/>
      <c r="L30" s="11"/>
      <c r="M30" s="11"/>
      <c r="N30" s="11"/>
      <c r="O30" s="11"/>
      <c r="P30" s="11"/>
      <c r="Q30" s="11"/>
      <c r="R30" s="11"/>
      <c r="S30" s="11"/>
      <c r="T30" s="11"/>
      <c r="U30" s="11"/>
    </row>
    <row r="31" spans="1:21" x14ac:dyDescent="0.3">
      <c r="A31" s="11"/>
      <c r="B31" s="11"/>
      <c r="C31" s="11"/>
      <c r="D31" s="11"/>
      <c r="E31" s="11"/>
      <c r="F31" s="11"/>
      <c r="G31" s="11"/>
      <c r="H31" s="11"/>
      <c r="I31" s="11"/>
      <c r="J31" s="11"/>
      <c r="K31" s="11"/>
      <c r="L31" s="11"/>
      <c r="M31" s="11"/>
      <c r="N31" s="11"/>
      <c r="O31" s="11"/>
      <c r="P31" s="11"/>
      <c r="Q31" s="11"/>
      <c r="R31" s="11"/>
      <c r="S31" s="11"/>
      <c r="T31" s="11"/>
      <c r="U31" s="11"/>
    </row>
    <row r="32" spans="1:21" x14ac:dyDescent="0.3">
      <c r="A32" s="11"/>
      <c r="B32" s="11"/>
      <c r="C32" s="11"/>
      <c r="D32" s="11"/>
      <c r="E32" s="11"/>
      <c r="F32" s="11"/>
      <c r="G32" s="11"/>
      <c r="H32" s="11"/>
      <c r="I32" s="11"/>
      <c r="J32" s="11"/>
      <c r="K32" s="11"/>
      <c r="L32" s="11"/>
      <c r="M32" s="11"/>
      <c r="N32" s="11"/>
      <c r="O32" s="11"/>
      <c r="P32" s="11"/>
      <c r="Q32" s="11"/>
      <c r="R32" s="11"/>
      <c r="S32" s="11"/>
      <c r="T32" s="11"/>
      <c r="U32" s="11"/>
    </row>
    <row r="33" spans="1:21" x14ac:dyDescent="0.3">
      <c r="A33" s="11"/>
      <c r="B33" s="11"/>
      <c r="C33" s="11"/>
      <c r="D33" s="11"/>
      <c r="E33" s="11"/>
      <c r="F33" s="11"/>
      <c r="G33" s="11"/>
      <c r="H33" s="11"/>
      <c r="I33" s="11"/>
      <c r="J33" s="11"/>
      <c r="K33" s="11"/>
      <c r="L33" s="11"/>
      <c r="M33" s="11"/>
      <c r="N33" s="11"/>
      <c r="O33" s="11"/>
      <c r="P33" s="11"/>
      <c r="Q33" s="11"/>
      <c r="R33" s="11"/>
      <c r="S33" s="11"/>
      <c r="T33" s="11"/>
      <c r="U33" s="11"/>
    </row>
    <row r="34" spans="1:21" x14ac:dyDescent="0.3">
      <c r="A34" s="11"/>
      <c r="B34" s="11"/>
      <c r="C34" s="11"/>
      <c r="D34" s="11"/>
      <c r="E34" s="11"/>
      <c r="F34" s="11"/>
      <c r="G34" s="11"/>
      <c r="H34" s="11"/>
      <c r="I34" s="11"/>
      <c r="J34" s="11"/>
      <c r="K34" s="11"/>
      <c r="L34" s="11"/>
      <c r="M34" s="11"/>
      <c r="N34" s="11"/>
      <c r="O34" s="11"/>
      <c r="P34" s="11"/>
      <c r="Q34" s="11"/>
      <c r="R34" s="11"/>
      <c r="S34" s="11"/>
      <c r="T34" s="11"/>
      <c r="U34" s="11"/>
    </row>
    <row r="35" spans="1:21" x14ac:dyDescent="0.3">
      <c r="A35" s="11"/>
      <c r="B35" s="11"/>
      <c r="C35" s="11"/>
      <c r="D35" s="11"/>
      <c r="E35" s="11"/>
      <c r="F35" s="11"/>
      <c r="G35" s="11"/>
      <c r="H35" s="11"/>
      <c r="I35" s="11"/>
      <c r="J35" s="11"/>
      <c r="K35" s="11"/>
      <c r="L35" s="11"/>
      <c r="M35" s="11"/>
      <c r="N35" s="11"/>
    </row>
    <row r="36" spans="1:21" x14ac:dyDescent="0.3">
      <c r="A36" s="11"/>
      <c r="B36" s="11"/>
      <c r="C36" s="11"/>
      <c r="D36" s="11"/>
      <c r="E36" s="11"/>
      <c r="F36" s="11"/>
      <c r="G36" s="11"/>
      <c r="H36" s="11"/>
      <c r="I36" s="11"/>
      <c r="J36" s="11"/>
      <c r="K36" s="11"/>
      <c r="L36" s="11"/>
      <c r="M36" s="11"/>
      <c r="N36" s="11"/>
    </row>
  </sheetData>
  <mergeCells count="4">
    <mergeCell ref="A2:T27"/>
    <mergeCell ref="L1:T1"/>
    <mergeCell ref="O28:U34"/>
    <mergeCell ref="A28:N3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Annual salary Vs Bonus</vt:lpstr>
      <vt:lpstr>Male Vs Female</vt:lpstr>
      <vt:lpstr>City</vt:lpstr>
      <vt:lpstr>Department Vs Gender</vt:lpstr>
      <vt:lpstr>Employee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Kashyap</dc:creator>
  <cp:lastModifiedBy>Priya Kashyap</cp:lastModifiedBy>
  <dcterms:created xsi:type="dcterms:W3CDTF">2024-12-24T07:21:20Z</dcterms:created>
  <dcterms:modified xsi:type="dcterms:W3CDTF">2024-12-30T07:24:48Z</dcterms:modified>
</cp:coreProperties>
</file>