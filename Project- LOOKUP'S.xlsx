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465aa32f8382d9/Desktop/"/>
    </mc:Choice>
  </mc:AlternateContent>
  <xr:revisionPtr revIDLastSave="377" documentId="8_{ECE7C3A8-4F98-45EA-8255-3D62935A2D15}" xr6:coauthVersionLast="47" xr6:coauthVersionMax="47" xr10:uidLastSave="{BE60D03C-9158-4CA5-93FC-ECB30447217F}"/>
  <bookViews>
    <workbookView xWindow="-108" yWindow="-108" windowWidth="23256" windowHeight="12456" xr2:uid="{A859DD61-A7EC-47B7-83E5-9DB5FE7D8EB9}"/>
  </bookViews>
  <sheets>
    <sheet name="Sheet1" sheetId="1" r:id="rId1"/>
    <sheet name="VLOOKUP" sheetId="2" r:id="rId2"/>
    <sheet name="HLOOKUP" sheetId="6" r:id="rId3"/>
    <sheet name="LOOKUP" sheetId="4" r:id="rId4"/>
    <sheet name="X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6" l="1"/>
  <c r="C22" i="6"/>
  <c r="E16" i="6"/>
  <c r="C16" i="6"/>
  <c r="K24" i="5"/>
  <c r="K19" i="5" a="1"/>
  <c r="K19" i="5" s="1"/>
  <c r="K14" i="5"/>
  <c r="K8" i="5"/>
  <c r="M7" i="4"/>
  <c r="K12" i="4"/>
  <c r="K7" i="4"/>
  <c r="K16" i="2"/>
  <c r="L16" i="2"/>
  <c r="M16" i="2"/>
  <c r="M12" i="2"/>
  <c r="K12" i="2"/>
  <c r="M6" i="2"/>
  <c r="K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<sst xmlns="http://schemas.openxmlformats.org/spreadsheetml/2006/main" count="285" uniqueCount="71">
  <si>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</si>
  <si>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</si>
  <si>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</si>
  <si>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</si>
  <si>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</si>
  <si>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</si>
  <si>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</si>
  <si>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</si>
  <si>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John Smith</t>
  </si>
  <si>
    <t>Jane Doe</t>
  </si>
  <si>
    <t>Michael Johnson</t>
  </si>
  <si>
    <t>Emily Brown</t>
  </si>
  <si>
    <t>David Wilson</t>
  </si>
  <si>
    <t>Lisa Taylor</t>
  </si>
  <si>
    <t>Daniel Martinez</t>
  </si>
  <si>
    <t>Sarah Anderson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</si>
  <si>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</si>
  <si>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</si>
  <si>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</si>
  <si>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</si>
  <si>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</si>
  <si>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</si>
  <si>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Matthew Wilson</t>
  </si>
  <si>
    <t>Amanda Martinez</t>
  </si>
  <si>
    <t>James Johnson</t>
  </si>
  <si>
    <t>Laura Brown</t>
  </si>
  <si>
    <t>Daniel Smith</t>
  </si>
  <si>
    <t>Jennifer Davis</t>
  </si>
  <si>
    <t>Michael Garcia</t>
  </si>
  <si>
    <t>Amy Hernandez</t>
  </si>
  <si>
    <t>Christopher Rodriguez</t>
  </si>
  <si>
    <t>Jessica Martinez</t>
  </si>
  <si>
    <t>Sarah Smith</t>
  </si>
  <si>
    <t>Matthew Johnson</t>
  </si>
  <si>
    <t>Emily Davis</t>
  </si>
  <si>
    <t>Daniel Wilson</t>
  </si>
  <si>
    <t>Jennifer Martinez</t>
  </si>
  <si>
    <t>Michael Smith</t>
  </si>
  <si>
    <t>Jessica Johnson</t>
  </si>
  <si>
    <t>David Brown</t>
  </si>
  <si>
    <t>Sarah Garcia</t>
  </si>
  <si>
    <t>Matthew Hernandez</t>
  </si>
  <si>
    <t>Emily Rodriguez</t>
  </si>
  <si>
    <t>Daniel Davis</t>
  </si>
  <si>
    <t>Jennifer Smith</t>
  </si>
  <si>
    <t>Sarah Johnson</t>
  </si>
  <si>
    <t>Matthew Garcia</t>
  </si>
  <si>
    <t>Daniel Hernandez</t>
  </si>
  <si>
    <t>Michael Martinez</t>
  </si>
  <si>
    <t>Jessica Wilson</t>
  </si>
  <si>
    <t>David Rodriguez</t>
  </si>
  <si>
    <t>Q- Find the customer name with order no 1015</t>
  </si>
  <si>
    <t>Customer name</t>
  </si>
  <si>
    <t>Data Validation</t>
  </si>
  <si>
    <t>Q- What is the total sales value of the customer David Wilson</t>
  </si>
  <si>
    <t>Total</t>
  </si>
  <si>
    <t>Q- Find the customer name with order no 1049</t>
  </si>
  <si>
    <t>Order no</t>
  </si>
  <si>
    <t>Q- Find the quantity order of customer name James Johnson</t>
  </si>
  <si>
    <t>Q- Find name Not Found for order no 1050</t>
  </si>
  <si>
    <t>Q- Find the sum of total between order no 1001 to 1004</t>
  </si>
  <si>
    <t xml:space="preserve">Order no </t>
  </si>
  <si>
    <t>Sum (Total)</t>
  </si>
  <si>
    <t>Q- What is retail price and quantity of customer name Melissa Lopez</t>
  </si>
  <si>
    <t xml:space="preserve">Retail price </t>
  </si>
  <si>
    <t>Quantity</t>
  </si>
  <si>
    <t>Q- How much is the tax of order no 1017</t>
  </si>
  <si>
    <t>Tax</t>
  </si>
  <si>
    <t>Q- Find the total of Michael johnson using HLOOKUP</t>
  </si>
  <si>
    <t>Q- Find the Retail price of order no 1003</t>
  </si>
  <si>
    <t>Retail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</si>
</sst>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0" fontId="0" fillId="3" borderId="0" xfId="0" applyFill="1"/>
    <xf numFmtId="0" fontId="2" fillId="0" borderId="0" xfId="0" applyFont="1" applyAlignment="1">
      <alignment vertical="center"/>
    </xf>
    <xf numFmtId="0" fontId="0" fillId="4" borderId="0" xfId="0" applyFill="1"/>
    <xf numFmtId="2" fontId="1" fillId="2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 applyAlignment="1">
      <alignment horizontal="center"/>
    </xf>
    <xf numFmtId="0" fontId="0" fillId="8" borderId="0" xfId="0" applyFill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B8C2-F363-44EA-A6BB-99A4DDAC400C}">
  <dimension ref="A1:H71"/>
  <sheetViews>
    <sheetView tabSelected="1" zoomScaleNormal="100" workbookViewId="0"/>
  </sheetViews>
  <sheetFormatPr defaultRowHeight="14.4" x14ac:dyDescent="0.3"/>
  <cols>
    <col min="1" max="1" width="9.6640625" style="9" bestFit="1" customWidth="1"/>
    <col min="2" max="2" width="11.44140625" bestFit="1" customWidth="1"/>
    <col min="3" max="3" width="19.109375" bestFit="1" customWidth="1"/>
    <col min="4" max="4" width="10" bestFit="1" customWidth="1"/>
    <col min="5" max="5" width="17.44140625" bestFit="1" customWidth="1"/>
    <col min="6" max="6" width="15.33203125" bestFit="1" customWidth="1"/>
    <col min="7" max="7" width="10" bestFit="1" customWidth="1"/>
    <col min="8" max="8" width="11.5546875" bestFit="1" customWidth="1"/>
  </cols>
  <sheetData>
    <row r="1" spans="1:8" ht="15.6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1">
        <v>1001</v>
      </c>
      <c r="B2" s="4">
        <v>45292</v>
      </c>
      <c r="C2" s="1" t="s">
        <v>8</v>
      </c>
      <c r="D2" s="4">
        <v>45294</v>
      </c>
      <c r="E2" s="1">
        <v>49.99</v>
      </c>
      <c r="F2" s="1">
        <v>2</v>
      </c>
      <c r="G2" s="1">
        <v>9.9980000000000011</v>
      </c>
      <c r="H2" s="1">
        <v>109.97800000000001</v>
      </c>
    </row>
    <row r="3" spans="1:8" x14ac:dyDescent="0.3">
      <c r="A3" s="1">
        <v>1002</v>
      </c>
      <c r="B3" s="4">
        <v>45292</v>
      </c>
      <c r="C3" s="1" t="s">
        <v>9</v>
      </c>
      <c r="D3" s="4">
        <v>45295</v>
      </c>
      <c r="E3" s="1">
        <v>29.99</v>
      </c>
      <c r="F3" s="1">
        <v>1</v>
      </c>
      <c r="G3" s="1">
        <v>2.9990000000000001</v>
      </c>
      <c r="H3" s="1">
        <v>32.988999999999997</v>
      </c>
    </row>
    <row r="4" spans="1:8" x14ac:dyDescent="0.3">
      <c r="A4" s="1">
        <v>1003</v>
      </c>
      <c r="B4" s="4">
        <v>45293</v>
      </c>
      <c r="C4" s="1" t="s">
        <v>10</v>
      </c>
      <c r="D4" s="4">
        <v>45298</v>
      </c>
      <c r="E4" s="1">
        <v>99.99</v>
      </c>
      <c r="F4" s="1">
        <v>3</v>
      </c>
      <c r="G4" s="1">
        <v>29.997</v>
      </c>
      <c r="H4" s="1">
        <v>329.96699999999998</v>
      </c>
    </row>
    <row r="5" spans="1:8" x14ac:dyDescent="0.3">
      <c r="A5" s="1">
        <v>1004</v>
      </c>
      <c r="B5" s="4">
        <v>45293</v>
      </c>
      <c r="C5" s="1" t="s">
        <v>11</v>
      </c>
      <c r="D5" s="4">
        <v>45294</v>
      </c>
      <c r="E5" s="1">
        <v>19.989999999999998</v>
      </c>
      <c r="F5" s="1">
        <v>4</v>
      </c>
      <c r="G5" s="1">
        <v>7.9959999999999996</v>
      </c>
      <c r="H5" s="1">
        <v>87.955999999999989</v>
      </c>
    </row>
    <row r="6" spans="1:8" x14ac:dyDescent="0.3">
      <c r="A6" s="1">
        <v>1005</v>
      </c>
      <c r="B6" s="4">
        <v>45294</v>
      </c>
      <c r="C6" s="1" t="s">
        <v>12</v>
      </c>
      <c r="D6" s="4">
        <v>45299</v>
      </c>
      <c r="E6" s="1">
        <v>149.99</v>
      </c>
      <c r="F6" s="1">
        <v>1</v>
      </c>
      <c r="G6" s="1">
        <v>14.999000000000002</v>
      </c>
      <c r="H6" s="1">
        <v>164.989</v>
      </c>
    </row>
    <row r="7" spans="1:8" x14ac:dyDescent="0.3">
      <c r="A7" s="1">
        <v>1006</v>
      </c>
      <c r="B7" s="4">
        <v>45294</v>
      </c>
      <c r="C7" s="1" t="s">
        <v>13</v>
      </c>
      <c r="D7" s="4">
        <v>45297</v>
      </c>
      <c r="E7" s="1">
        <v>79.989999999999995</v>
      </c>
      <c r="F7" s="1">
        <v>2</v>
      </c>
      <c r="G7" s="1">
        <v>15.997999999999999</v>
      </c>
      <c r="H7" s="1">
        <v>175.97799999999998</v>
      </c>
    </row>
    <row r="8" spans="1:8" x14ac:dyDescent="0.3">
      <c r="A8" s="1">
        <v>1007</v>
      </c>
      <c r="B8" s="4">
        <v>45295</v>
      </c>
      <c r="C8" s="1" t="s">
        <v>14</v>
      </c>
      <c r="D8" s="4">
        <v>45297</v>
      </c>
      <c r="E8" s="1">
        <v>39.99</v>
      </c>
      <c r="F8" s="1">
        <v>3</v>
      </c>
      <c r="G8" s="1">
        <v>11.997</v>
      </c>
      <c r="H8" s="1">
        <v>131.96699999999998</v>
      </c>
    </row>
    <row r="9" spans="1:8" x14ac:dyDescent="0.3">
      <c r="A9" s="1">
        <v>1008</v>
      </c>
      <c r="B9" s="4">
        <v>45295</v>
      </c>
      <c r="C9" s="1" t="s">
        <v>15</v>
      </c>
      <c r="D9" s="4">
        <v>45300</v>
      </c>
      <c r="E9" s="1">
        <v>69.989999999999995</v>
      </c>
      <c r="F9" s="1">
        <v>2</v>
      </c>
      <c r="G9" s="1">
        <v>13.997999999999999</v>
      </c>
      <c r="H9" s="1">
        <v>153.97799999999998</v>
      </c>
    </row>
    <row r="10" spans="1:8" x14ac:dyDescent="0.3">
      <c r="A10" s="1">
        <v>1009</v>
      </c>
      <c r="B10" s="4">
        <v>45296</v>
      </c>
      <c r="C10" s="1" t="s">
        <v>16</v>
      </c>
      <c r="D10" s="4">
        <v>45297</v>
      </c>
      <c r="E10" s="1">
        <v>89.99</v>
      </c>
      <c r="F10" s="1">
        <v>1</v>
      </c>
      <c r="G10" s="1">
        <v>8.9990000000000006</v>
      </c>
      <c r="H10" s="1">
        <v>98.98899999999999</v>
      </c>
    </row>
    <row r="11" spans="1:8" x14ac:dyDescent="0.3">
      <c r="A11" s="1">
        <v>1010</v>
      </c>
      <c r="B11" s="4">
        <v>45296</v>
      </c>
      <c r="C11" s="1" t="s">
        <v>17</v>
      </c>
      <c r="D11" s="4">
        <v>45299</v>
      </c>
      <c r="E11" s="1">
        <v>199.99</v>
      </c>
      <c r="F11" s="1">
        <v>1</v>
      </c>
      <c r="G11" s="1">
        <v>19.999000000000002</v>
      </c>
      <c r="H11" s="1">
        <v>219.989</v>
      </c>
    </row>
    <row r="12" spans="1:8" x14ac:dyDescent="0.3">
      <c r="A12" s="1">
        <v>1011</v>
      </c>
      <c r="B12" s="4">
        <v>45297</v>
      </c>
      <c r="C12" s="1" t="s">
        <v>18</v>
      </c>
      <c r="D12" s="4">
        <v>45298</v>
      </c>
      <c r="E12" s="1">
        <v>29.99</v>
      </c>
      <c r="F12" s="1">
        <v>5</v>
      </c>
      <c r="G12" s="1">
        <v>14.994999999999999</v>
      </c>
      <c r="H12" s="1">
        <v>164.94499999999999</v>
      </c>
    </row>
    <row r="13" spans="1:8" x14ac:dyDescent="0.3">
      <c r="A13" s="1">
        <v>1012</v>
      </c>
      <c r="B13" s="4">
        <v>45297</v>
      </c>
      <c r="C13" s="1" t="s">
        <v>19</v>
      </c>
      <c r="D13" s="4">
        <v>45299</v>
      </c>
      <c r="E13" s="1">
        <v>79.989999999999995</v>
      </c>
      <c r="F13" s="1">
        <v>2</v>
      </c>
      <c r="G13" s="1">
        <v>15.997999999999999</v>
      </c>
      <c r="H13" s="1">
        <v>175.97799999999998</v>
      </c>
    </row>
    <row r="14" spans="1:8" x14ac:dyDescent="0.3">
      <c r="A14" s="1">
        <v>1013</v>
      </c>
      <c r="B14" s="4">
        <v>45298</v>
      </c>
      <c r="C14" s="1" t="s">
        <v>20</v>
      </c>
      <c r="D14" s="4">
        <v>45300</v>
      </c>
      <c r="E14" s="1">
        <v>49.99</v>
      </c>
      <c r="F14" s="1">
        <v>3</v>
      </c>
      <c r="G14" s="1">
        <v>14.997</v>
      </c>
      <c r="H14" s="1">
        <v>164.96699999999998</v>
      </c>
    </row>
    <row r="15" spans="1:8" x14ac:dyDescent="0.3">
      <c r="A15" s="1">
        <v>1014</v>
      </c>
      <c r="B15" s="4">
        <v>45298</v>
      </c>
      <c r="C15" s="1" t="s">
        <v>21</v>
      </c>
      <c r="D15" s="4">
        <v>45303</v>
      </c>
      <c r="E15" s="1">
        <v>129.99</v>
      </c>
      <c r="F15" s="1">
        <v>1</v>
      </c>
      <c r="G15" s="1">
        <v>12.999000000000002</v>
      </c>
      <c r="H15" s="1">
        <v>142.989</v>
      </c>
    </row>
    <row r="16" spans="1:8" x14ac:dyDescent="0.3">
      <c r="A16" s="1">
        <v>1015</v>
      </c>
      <c r="B16" s="4">
        <v>45299</v>
      </c>
      <c r="C16" s="1" t="s">
        <v>22</v>
      </c>
      <c r="D16" s="4">
        <v>45304</v>
      </c>
      <c r="E16" s="1">
        <v>19.989999999999998</v>
      </c>
      <c r="F16" s="1">
        <v>4</v>
      </c>
      <c r="G16" s="1">
        <v>7.9959999999999996</v>
      </c>
      <c r="H16" s="1">
        <v>87.955999999999989</v>
      </c>
    </row>
    <row r="17" spans="1:8" x14ac:dyDescent="0.3">
      <c r="A17" s="1">
        <v>1016</v>
      </c>
      <c r="B17" s="4">
        <v>45299</v>
      </c>
      <c r="C17" s="1" t="s">
        <v>23</v>
      </c>
      <c r="D17" s="4">
        <v>45303</v>
      </c>
      <c r="E17" s="1">
        <v>149.99</v>
      </c>
      <c r="F17" s="1">
        <v>1</v>
      </c>
      <c r="G17" s="1">
        <v>14.999000000000002</v>
      </c>
      <c r="H17" s="1">
        <v>164.989</v>
      </c>
    </row>
    <row r="18" spans="1:8" x14ac:dyDescent="0.3">
      <c r="A18" s="1">
        <v>1017</v>
      </c>
      <c r="B18" s="4">
        <v>45300</v>
      </c>
      <c r="C18" s="1" t="s">
        <v>24</v>
      </c>
      <c r="D18" s="4">
        <v>45305</v>
      </c>
      <c r="E18" s="1">
        <v>69.989999999999995</v>
      </c>
      <c r="F18" s="1">
        <v>2</v>
      </c>
      <c r="G18" s="1">
        <v>13.997999999999999</v>
      </c>
      <c r="H18" s="1">
        <v>153.97799999999998</v>
      </c>
    </row>
    <row r="19" spans="1:8" x14ac:dyDescent="0.3">
      <c r="A19" s="1">
        <v>1018</v>
      </c>
      <c r="B19" s="4">
        <v>45300</v>
      </c>
      <c r="C19" s="1" t="s">
        <v>25</v>
      </c>
      <c r="D19" s="4">
        <v>45303</v>
      </c>
      <c r="E19" s="1">
        <v>39.99</v>
      </c>
      <c r="F19" s="1">
        <v>3</v>
      </c>
      <c r="G19" s="1">
        <v>11.997</v>
      </c>
      <c r="H19" s="1">
        <v>131.96699999999998</v>
      </c>
    </row>
    <row r="20" spans="1:8" x14ac:dyDescent="0.3">
      <c r="A20" s="1">
        <v>1019</v>
      </c>
      <c r="B20" s="4">
        <v>45301</v>
      </c>
      <c r="C20" s="1" t="s">
        <v>26</v>
      </c>
      <c r="D20" s="4">
        <v>45302</v>
      </c>
      <c r="E20" s="1">
        <v>199.99</v>
      </c>
      <c r="F20" s="1">
        <v>1</v>
      </c>
      <c r="G20" s="1">
        <v>19.999000000000002</v>
      </c>
      <c r="H20" s="1">
        <v>219.989</v>
      </c>
    </row>
    <row r="21" spans="1:8" x14ac:dyDescent="0.3">
      <c r="A21" s="1">
        <v>1020</v>
      </c>
      <c r="B21" s="4">
        <v>45301</v>
      </c>
      <c r="C21" s="1" t="s">
        <v>27</v>
      </c>
      <c r="D21" s="4">
        <v>45305</v>
      </c>
      <c r="E21" s="1">
        <v>29.99</v>
      </c>
      <c r="F21" s="1">
        <v>5</v>
      </c>
      <c r="G21" s="1">
        <v>14.994999999999999</v>
      </c>
      <c r="H21" s="1">
        <v>164.94499999999999</v>
      </c>
    </row>
    <row r="22" spans="1:8" x14ac:dyDescent="0.3">
      <c r="A22" s="1">
        <v>1021</v>
      </c>
      <c r="B22" s="4">
        <v>45302</v>
      </c>
      <c r="C22" s="1" t="s">
        <v>28</v>
      </c>
      <c r="D22" s="4">
        <v>45305</v>
      </c>
      <c r="E22" s="1">
        <v>79.989999999999995</v>
      </c>
      <c r="F22" s="1">
        <v>2</v>
      </c>
      <c r="G22" s="1">
        <v>15.997999999999999</v>
      </c>
      <c r="H22" s="1">
        <v>175.97799999999998</v>
      </c>
    </row>
    <row r="23" spans="1:8" x14ac:dyDescent="0.3">
      <c r="A23" s="1">
        <v>1022</v>
      </c>
      <c r="B23" s="4">
        <v>45302</v>
      </c>
      <c r="C23" s="1" t="s">
        <v>29</v>
      </c>
      <c r="D23" s="4">
        <v>45306</v>
      </c>
      <c r="E23" s="1">
        <v>49.99</v>
      </c>
      <c r="F23" s="1">
        <v>3</v>
      </c>
      <c r="G23" s="1">
        <v>14.997</v>
      </c>
      <c r="H23" s="1">
        <v>164.96699999999998</v>
      </c>
    </row>
    <row r="24" spans="1:8" x14ac:dyDescent="0.3">
      <c r="A24" s="1">
        <v>1023</v>
      </c>
      <c r="B24" s="4">
        <v>45303</v>
      </c>
      <c r="C24" s="1" t="s">
        <v>30</v>
      </c>
      <c r="D24" s="4">
        <v>45308</v>
      </c>
      <c r="E24" s="1">
        <v>129.99</v>
      </c>
      <c r="F24" s="1">
        <v>1</v>
      </c>
      <c r="G24" s="1">
        <v>12.999000000000002</v>
      </c>
      <c r="H24" s="1">
        <v>142.989</v>
      </c>
    </row>
    <row r="25" spans="1:8" x14ac:dyDescent="0.3">
      <c r="A25" s="1">
        <v>1024</v>
      </c>
      <c r="B25" s="4">
        <v>45303</v>
      </c>
      <c r="C25" s="1" t="s">
        <v>31</v>
      </c>
      <c r="D25" s="4">
        <v>45308</v>
      </c>
      <c r="E25" s="1">
        <v>19.989999999999998</v>
      </c>
      <c r="F25" s="1">
        <v>4</v>
      </c>
      <c r="G25" s="1">
        <v>7.9959999999999996</v>
      </c>
      <c r="H25" s="1">
        <v>87.955999999999989</v>
      </c>
    </row>
    <row r="26" spans="1:8" x14ac:dyDescent="0.3">
      <c r="A26" s="1">
        <v>1025</v>
      </c>
      <c r="B26" s="4">
        <v>45304</v>
      </c>
      <c r="C26" s="1" t="s">
        <v>12</v>
      </c>
      <c r="D26" s="4">
        <v>45308</v>
      </c>
      <c r="E26" s="1">
        <v>149.99</v>
      </c>
      <c r="F26" s="1">
        <v>1</v>
      </c>
      <c r="G26" s="1">
        <v>14.999000000000002</v>
      </c>
      <c r="H26" s="1">
        <v>164.989</v>
      </c>
    </row>
    <row r="27" spans="1:8" x14ac:dyDescent="0.3">
      <c r="A27" s="1">
        <v>1026</v>
      </c>
      <c r="B27" s="4">
        <v>45304</v>
      </c>
      <c r="C27" s="1" t="s">
        <v>32</v>
      </c>
      <c r="D27" s="4">
        <v>45305</v>
      </c>
      <c r="E27" s="1">
        <v>69.989999999999995</v>
      </c>
      <c r="F27" s="1">
        <v>2</v>
      </c>
      <c r="G27" s="1">
        <v>13.997999999999999</v>
      </c>
      <c r="H27" s="1">
        <v>153.97799999999998</v>
      </c>
    </row>
    <row r="28" spans="1:8" x14ac:dyDescent="0.3">
      <c r="A28" s="1">
        <v>1027</v>
      </c>
      <c r="B28" s="4">
        <v>45305</v>
      </c>
      <c r="C28" s="1" t="s">
        <v>33</v>
      </c>
      <c r="D28" s="4">
        <v>45309</v>
      </c>
      <c r="E28" s="1">
        <v>39.99</v>
      </c>
      <c r="F28" s="1">
        <v>3</v>
      </c>
      <c r="G28" s="1">
        <v>11.997</v>
      </c>
      <c r="H28" s="1">
        <v>131.96699999999998</v>
      </c>
    </row>
    <row r="29" spans="1:8" x14ac:dyDescent="0.3">
      <c r="A29" s="1">
        <v>1028</v>
      </c>
      <c r="B29" s="4">
        <v>45305</v>
      </c>
      <c r="C29" s="1" t="s">
        <v>34</v>
      </c>
      <c r="D29" s="4">
        <v>45310</v>
      </c>
      <c r="E29" s="1">
        <v>199.99</v>
      </c>
      <c r="F29" s="1">
        <v>1</v>
      </c>
      <c r="G29" s="1">
        <v>19.999000000000002</v>
      </c>
      <c r="H29" s="1">
        <v>219.989</v>
      </c>
    </row>
    <row r="30" spans="1:8" x14ac:dyDescent="0.3">
      <c r="A30" s="1">
        <v>1029</v>
      </c>
      <c r="B30" s="4">
        <v>45306</v>
      </c>
      <c r="C30" s="1" t="s">
        <v>35</v>
      </c>
      <c r="D30" s="4">
        <v>45310</v>
      </c>
      <c r="E30" s="1">
        <v>29.99</v>
      </c>
      <c r="F30" s="1">
        <v>5</v>
      </c>
      <c r="G30" s="1">
        <v>14.994999999999999</v>
      </c>
      <c r="H30" s="1">
        <v>164.94499999999999</v>
      </c>
    </row>
    <row r="31" spans="1:8" x14ac:dyDescent="0.3">
      <c r="A31" s="1">
        <v>1030</v>
      </c>
      <c r="B31" s="4">
        <v>45306</v>
      </c>
      <c r="C31" s="1" t="s">
        <v>36</v>
      </c>
      <c r="D31" s="4">
        <v>45310</v>
      </c>
      <c r="E31" s="1">
        <v>79.989999999999995</v>
      </c>
      <c r="F31" s="1">
        <v>2</v>
      </c>
      <c r="G31" s="1">
        <v>15.997999999999999</v>
      </c>
      <c r="H31" s="1">
        <v>175.97799999999998</v>
      </c>
    </row>
    <row r="32" spans="1:8" x14ac:dyDescent="0.3">
      <c r="A32" s="1">
        <v>1031</v>
      </c>
      <c r="B32" s="4">
        <v>45307</v>
      </c>
      <c r="C32" s="1" t="s">
        <v>37</v>
      </c>
      <c r="D32" s="4">
        <v>45310</v>
      </c>
      <c r="E32" s="1">
        <v>49.99</v>
      </c>
      <c r="F32" s="1">
        <v>3</v>
      </c>
      <c r="G32" s="1">
        <v>14.997</v>
      </c>
      <c r="H32" s="1">
        <v>164.96699999999998</v>
      </c>
    </row>
    <row r="33" spans="1:8" x14ac:dyDescent="0.3">
      <c r="A33" s="1">
        <v>1032</v>
      </c>
      <c r="B33" s="4">
        <v>45307</v>
      </c>
      <c r="C33" s="1" t="s">
        <v>38</v>
      </c>
      <c r="D33" s="4">
        <v>45308</v>
      </c>
      <c r="E33" s="1">
        <v>129.99</v>
      </c>
      <c r="F33" s="1">
        <v>1</v>
      </c>
      <c r="G33" s="1">
        <v>12.999000000000002</v>
      </c>
      <c r="H33" s="1">
        <v>142.989</v>
      </c>
    </row>
    <row r="34" spans="1:8" x14ac:dyDescent="0.3">
      <c r="A34" s="1">
        <v>1033</v>
      </c>
      <c r="B34" s="4">
        <v>45308</v>
      </c>
      <c r="C34" s="1" t="s">
        <v>39</v>
      </c>
      <c r="D34" s="4">
        <v>45310</v>
      </c>
      <c r="E34" s="1">
        <v>19.989999999999998</v>
      </c>
      <c r="F34" s="1">
        <v>4</v>
      </c>
      <c r="G34" s="1">
        <v>7.9959999999999996</v>
      </c>
      <c r="H34" s="1">
        <v>87.955999999999989</v>
      </c>
    </row>
    <row r="35" spans="1:8" x14ac:dyDescent="0.3">
      <c r="A35" s="1">
        <v>1034</v>
      </c>
      <c r="B35" s="4">
        <v>45308</v>
      </c>
      <c r="C35" s="1" t="s">
        <v>40</v>
      </c>
      <c r="D35" s="4">
        <v>45310</v>
      </c>
      <c r="E35" s="1">
        <v>149.99</v>
      </c>
      <c r="F35" s="1">
        <v>1</v>
      </c>
      <c r="G35" s="1">
        <v>14.999000000000002</v>
      </c>
      <c r="H35" s="1">
        <v>164.989</v>
      </c>
    </row>
    <row r="36" spans="1:8" x14ac:dyDescent="0.3">
      <c r="A36" s="1">
        <v>1035</v>
      </c>
      <c r="B36" s="4">
        <v>45309</v>
      </c>
      <c r="C36" s="1" t="s">
        <v>41</v>
      </c>
      <c r="D36" s="4">
        <v>45314</v>
      </c>
      <c r="E36" s="1">
        <v>69.989999999999995</v>
      </c>
      <c r="F36" s="1">
        <v>2</v>
      </c>
      <c r="G36" s="1">
        <v>13.997999999999999</v>
      </c>
      <c r="H36" s="1">
        <v>153.97799999999998</v>
      </c>
    </row>
    <row r="37" spans="1:8" x14ac:dyDescent="0.3">
      <c r="A37" s="1">
        <v>1036</v>
      </c>
      <c r="B37" s="4">
        <v>45309</v>
      </c>
      <c r="C37" s="1" t="s">
        <v>42</v>
      </c>
      <c r="D37" s="4">
        <v>45310</v>
      </c>
      <c r="E37" s="1">
        <v>39.99</v>
      </c>
      <c r="F37" s="1">
        <v>3</v>
      </c>
      <c r="G37" s="1">
        <v>11.997</v>
      </c>
      <c r="H37" s="1">
        <v>131.96699999999998</v>
      </c>
    </row>
    <row r="38" spans="1:8" x14ac:dyDescent="0.3">
      <c r="A38" s="1">
        <v>1037</v>
      </c>
      <c r="B38" s="4">
        <v>45310</v>
      </c>
      <c r="C38" s="1" t="s">
        <v>43</v>
      </c>
      <c r="D38" s="4">
        <v>45311</v>
      </c>
      <c r="E38" s="1">
        <v>199.99</v>
      </c>
      <c r="F38" s="1">
        <v>1</v>
      </c>
      <c r="G38" s="1">
        <v>19.999000000000002</v>
      </c>
      <c r="H38" s="1">
        <v>219.989</v>
      </c>
    </row>
    <row r="39" spans="1:8" x14ac:dyDescent="0.3">
      <c r="A39" s="1">
        <v>1038</v>
      </c>
      <c r="B39" s="4">
        <v>45310</v>
      </c>
      <c r="C39" s="1" t="s">
        <v>44</v>
      </c>
      <c r="D39" s="4">
        <v>45313</v>
      </c>
      <c r="E39" s="1">
        <v>29.99</v>
      </c>
      <c r="F39" s="1">
        <v>5</v>
      </c>
      <c r="G39" s="1">
        <v>14.994999999999999</v>
      </c>
      <c r="H39" s="1">
        <v>164.94499999999999</v>
      </c>
    </row>
    <row r="40" spans="1:8" x14ac:dyDescent="0.3">
      <c r="A40" s="1">
        <v>1039</v>
      </c>
      <c r="B40" s="4">
        <v>45311</v>
      </c>
      <c r="C40" s="1" t="s">
        <v>10</v>
      </c>
      <c r="D40" s="4">
        <v>45315</v>
      </c>
      <c r="E40" s="1">
        <v>79.989999999999995</v>
      </c>
      <c r="F40" s="1">
        <v>2</v>
      </c>
      <c r="G40" s="1">
        <v>15.997999999999999</v>
      </c>
      <c r="H40" s="1">
        <v>175.97799999999998</v>
      </c>
    </row>
    <row r="41" spans="1:8" x14ac:dyDescent="0.3">
      <c r="A41" s="1">
        <v>1040</v>
      </c>
      <c r="B41" s="4">
        <v>45311</v>
      </c>
      <c r="C41" s="1" t="s">
        <v>31</v>
      </c>
      <c r="D41" s="4">
        <v>45312</v>
      </c>
      <c r="E41" s="1">
        <v>49.99</v>
      </c>
      <c r="F41" s="1">
        <v>3</v>
      </c>
      <c r="G41" s="1">
        <v>14.997</v>
      </c>
      <c r="H41" s="1">
        <v>164.96699999999998</v>
      </c>
    </row>
    <row r="42" spans="1:8" x14ac:dyDescent="0.3">
      <c r="A42" s="1">
        <v>1041</v>
      </c>
      <c r="B42" s="4">
        <v>45312</v>
      </c>
      <c r="C42" s="1" t="s">
        <v>12</v>
      </c>
      <c r="D42" s="4">
        <v>45317</v>
      </c>
      <c r="E42" s="1">
        <v>129.99</v>
      </c>
      <c r="F42" s="1">
        <v>1</v>
      </c>
      <c r="G42" s="1">
        <v>12.999000000000002</v>
      </c>
      <c r="H42" s="1">
        <v>142.989</v>
      </c>
    </row>
    <row r="43" spans="1:8" x14ac:dyDescent="0.3">
      <c r="A43" s="1">
        <v>1042</v>
      </c>
      <c r="B43" s="4">
        <v>45312</v>
      </c>
      <c r="C43" s="1" t="s">
        <v>45</v>
      </c>
      <c r="D43" s="4">
        <v>45314</v>
      </c>
      <c r="E43" s="1">
        <v>19.989999999999998</v>
      </c>
      <c r="F43" s="1">
        <v>4</v>
      </c>
      <c r="G43" s="1">
        <v>7.9959999999999996</v>
      </c>
      <c r="H43" s="1">
        <v>87.955999999999989</v>
      </c>
    </row>
    <row r="44" spans="1:8" x14ac:dyDescent="0.3">
      <c r="A44" s="1">
        <v>1043</v>
      </c>
      <c r="B44" s="4">
        <v>45313</v>
      </c>
      <c r="C44" s="1" t="s">
        <v>46</v>
      </c>
      <c r="D44" s="4">
        <v>45316</v>
      </c>
      <c r="E44" s="1">
        <v>149.99</v>
      </c>
      <c r="F44" s="1">
        <v>1</v>
      </c>
      <c r="G44" s="1">
        <v>14.999000000000002</v>
      </c>
      <c r="H44" s="1">
        <v>164.989</v>
      </c>
    </row>
    <row r="45" spans="1:8" x14ac:dyDescent="0.3">
      <c r="A45" s="1">
        <v>1044</v>
      </c>
      <c r="B45" s="4">
        <v>45313</v>
      </c>
      <c r="C45" s="1" t="s">
        <v>11</v>
      </c>
      <c r="D45" s="4">
        <v>45316</v>
      </c>
      <c r="E45" s="1">
        <v>69.989999999999995</v>
      </c>
      <c r="F45" s="1">
        <v>2</v>
      </c>
      <c r="G45" s="1">
        <v>13.997999999999999</v>
      </c>
      <c r="H45" s="1">
        <v>153.97799999999998</v>
      </c>
    </row>
    <row r="46" spans="1:8" x14ac:dyDescent="0.3">
      <c r="A46" s="1">
        <v>1045</v>
      </c>
      <c r="B46" s="4">
        <v>45314</v>
      </c>
      <c r="C46" s="1" t="s">
        <v>47</v>
      </c>
      <c r="D46" s="4">
        <v>45318</v>
      </c>
      <c r="E46" s="1">
        <v>39.99</v>
      </c>
      <c r="F46" s="1">
        <v>3</v>
      </c>
      <c r="G46" s="1">
        <v>11.997</v>
      </c>
      <c r="H46" s="1">
        <v>131.96699999999998</v>
      </c>
    </row>
    <row r="47" spans="1:8" x14ac:dyDescent="0.3">
      <c r="A47" s="1">
        <v>1046</v>
      </c>
      <c r="B47" s="4">
        <v>45314</v>
      </c>
      <c r="C47" s="1" t="s">
        <v>27</v>
      </c>
      <c r="D47" s="4">
        <v>45317</v>
      </c>
      <c r="E47" s="1">
        <v>199.99</v>
      </c>
      <c r="F47" s="1">
        <v>1</v>
      </c>
      <c r="G47" s="1">
        <v>19.999000000000002</v>
      </c>
      <c r="H47" s="1">
        <v>219.989</v>
      </c>
    </row>
    <row r="48" spans="1:8" x14ac:dyDescent="0.3">
      <c r="A48" s="1">
        <v>1047</v>
      </c>
      <c r="B48" s="4">
        <v>45315</v>
      </c>
      <c r="C48" s="1" t="s">
        <v>48</v>
      </c>
      <c r="D48" s="4">
        <v>45316</v>
      </c>
      <c r="E48" s="1">
        <v>29.99</v>
      </c>
      <c r="F48" s="1">
        <v>5</v>
      </c>
      <c r="G48" s="1">
        <v>14.994999999999999</v>
      </c>
      <c r="H48" s="1">
        <v>164.94499999999999</v>
      </c>
    </row>
    <row r="49" spans="1:8" x14ac:dyDescent="0.3">
      <c r="A49" s="1">
        <v>1048</v>
      </c>
      <c r="B49" s="4">
        <v>45315</v>
      </c>
      <c r="C49" s="1" t="s">
        <v>49</v>
      </c>
      <c r="D49" s="4">
        <v>45317</v>
      </c>
      <c r="E49" s="1">
        <v>79.989999999999995</v>
      </c>
      <c r="F49" s="1">
        <v>2</v>
      </c>
      <c r="G49" s="1">
        <v>15.997999999999999</v>
      </c>
      <c r="H49" s="1">
        <v>175.97799999999998</v>
      </c>
    </row>
    <row r="50" spans="1:8" x14ac:dyDescent="0.3">
      <c r="A50" s="1">
        <v>1049</v>
      </c>
      <c r="B50" s="4">
        <v>45316</v>
      </c>
      <c r="C50" s="1" t="s">
        <v>50</v>
      </c>
      <c r="D50" s="4">
        <v>45321</v>
      </c>
      <c r="E50" s="1">
        <v>49.99</v>
      </c>
      <c r="F50" s="1">
        <v>3</v>
      </c>
      <c r="G50" s="1">
        <v>14.997</v>
      </c>
      <c r="H50" s="1">
        <v>164.96699999999998</v>
      </c>
    </row>
    <row r="51" spans="1:8" x14ac:dyDescent="0.3">
      <c r="A51" s="1"/>
      <c r="B51" s="4"/>
      <c r="C51" s="1"/>
      <c r="D51" s="4"/>
      <c r="E51" s="1"/>
      <c r="F51" s="1"/>
      <c r="G51" s="1"/>
      <c r="H51" s="1"/>
    </row>
    <row r="52" spans="1:8" x14ac:dyDescent="0.3">
      <c r="A52" s="1"/>
      <c r="B52" s="4"/>
      <c r="C52" s="1"/>
      <c r="D52" s="4"/>
      <c r="E52" s="1"/>
      <c r="F52" s="1"/>
      <c r="G52" s="1"/>
      <c r="H52" s="1"/>
    </row>
    <row r="53" spans="1:8" x14ac:dyDescent="0.3">
      <c r="A53" s="1"/>
      <c r="B53" s="4"/>
      <c r="C53" s="1"/>
      <c r="D53" s="4"/>
      <c r="E53" s="1"/>
      <c r="F53" s="1"/>
      <c r="G53" s="1"/>
      <c r="H53" s="1"/>
    </row>
    <row r="54" spans="1:8" x14ac:dyDescent="0.3">
      <c r="A54" s="1"/>
      <c r="B54" s="4"/>
      <c r="C54" s="1"/>
      <c r="D54" s="4"/>
      <c r="E54" s="1"/>
      <c r="F54" s="1"/>
      <c r="G54" s="1"/>
      <c r="H54" s="1"/>
    </row>
    <row r="55" spans="1:8" x14ac:dyDescent="0.3">
      <c r="A55" s="1"/>
      <c r="B55" s="4"/>
      <c r="C55" s="1"/>
      <c r="D55" s="4"/>
      <c r="E55" s="1"/>
      <c r="F55" s="1"/>
      <c r="G55" s="1"/>
      <c r="H55" s="1"/>
    </row>
    <row r="56" spans="1:8" x14ac:dyDescent="0.3">
      <c r="A56" s="1"/>
      <c r="B56" s="4"/>
      <c r="C56" s="1"/>
      <c r="D56" s="4"/>
      <c r="E56" s="1"/>
      <c r="F56" s="1"/>
      <c r="G56" s="1"/>
      <c r="H56" s="1"/>
    </row>
    <row r="57" spans="1:8" x14ac:dyDescent="0.3">
      <c r="A57" s="1"/>
      <c r="B57" s="4"/>
      <c r="C57" s="1"/>
      <c r="D57" s="4"/>
      <c r="E57" s="1"/>
      <c r="F57" s="1"/>
      <c r="G57" s="1"/>
      <c r="H57" s="1"/>
    </row>
    <row r="58" spans="1:8" x14ac:dyDescent="0.3">
      <c r="A58" s="1"/>
      <c r="B58" s="4"/>
      <c r="C58" s="1"/>
      <c r="D58" s="4"/>
      <c r="E58" s="1"/>
      <c r="F58" s="1"/>
      <c r="G58" s="1"/>
      <c r="H58" s="1"/>
    </row>
    <row r="59" spans="1:8" x14ac:dyDescent="0.3">
      <c r="A59" s="1"/>
      <c r="B59" s="4"/>
      <c r="C59" s="1"/>
      <c r="D59" s="4"/>
      <c r="E59" s="1"/>
      <c r="F59" s="1"/>
      <c r="G59" s="1"/>
      <c r="H59" s="1"/>
    </row>
    <row r="60" spans="1:8" x14ac:dyDescent="0.3">
      <c r="A60" s="1"/>
      <c r="B60" s="4"/>
      <c r="C60" s="1"/>
      <c r="D60" s="4"/>
      <c r="E60" s="1"/>
      <c r="F60" s="1"/>
      <c r="G60" s="1"/>
      <c r="H60" s="1"/>
    </row>
    <row r="61" spans="1:8" x14ac:dyDescent="0.3">
      <c r="A61" s="1"/>
      <c r="B61" s="4"/>
      <c r="C61" s="1"/>
      <c r="D61" s="4"/>
      <c r="E61" s="1"/>
      <c r="F61" s="1"/>
      <c r="G61" s="1"/>
      <c r="H61" s="1"/>
    </row>
    <row r="62" spans="1:8" x14ac:dyDescent="0.3">
      <c r="A62" s="1"/>
      <c r="B62" s="4"/>
      <c r="C62" s="1"/>
      <c r="D62" s="4"/>
      <c r="E62" s="1"/>
      <c r="F62" s="1"/>
      <c r="G62" s="1"/>
      <c r="H62" s="1"/>
    </row>
    <row r="63" spans="1:8" x14ac:dyDescent="0.3">
      <c r="A63" s="1"/>
      <c r="B63" s="4"/>
      <c r="C63" s="1"/>
      <c r="D63" s="4"/>
      <c r="E63" s="1"/>
      <c r="F63" s="1"/>
      <c r="G63" s="1"/>
      <c r="H63" s="1"/>
    </row>
    <row r="64" spans="1:8" x14ac:dyDescent="0.3">
      <c r="A64" s="1"/>
      <c r="B64" s="4"/>
      <c r="C64" s="1"/>
      <c r="D64" s="4"/>
      <c r="E64" s="1"/>
      <c r="F64" s="1"/>
      <c r="G64" s="1"/>
      <c r="H64" s="1"/>
    </row>
    <row r="65" spans="1:8" x14ac:dyDescent="0.3">
      <c r="A65" s="1"/>
      <c r="B65" s="4"/>
      <c r="C65" s="1"/>
      <c r="D65" s="4"/>
      <c r="E65" s="1"/>
      <c r="F65" s="1"/>
      <c r="G65" s="1"/>
      <c r="H65" s="1"/>
    </row>
    <row r="66" spans="1:8" x14ac:dyDescent="0.3">
      <c r="A66" s="1"/>
      <c r="B66" s="4"/>
      <c r="C66" s="1"/>
      <c r="D66" s="4"/>
      <c r="E66" s="1"/>
      <c r="F66" s="1"/>
      <c r="G66" s="1"/>
      <c r="H66" s="1"/>
    </row>
    <row r="67" spans="1:8" x14ac:dyDescent="0.3">
      <c r="A67" s="1"/>
      <c r="B67" s="4"/>
      <c r="C67" s="1"/>
      <c r="D67" s="4"/>
      <c r="E67" s="1"/>
      <c r="F67" s="1"/>
      <c r="G67" s="1"/>
      <c r="H67" s="1"/>
    </row>
    <row r="68" spans="1:8" x14ac:dyDescent="0.3">
      <c r="A68" s="1"/>
      <c r="B68" s="4"/>
      <c r="C68" s="1"/>
      <c r="D68" s="4"/>
      <c r="E68" s="1"/>
      <c r="F68" s="1"/>
      <c r="G68" s="1"/>
      <c r="H68" s="1"/>
    </row>
    <row r="69" spans="1:8" x14ac:dyDescent="0.3">
      <c r="A69" s="1"/>
      <c r="B69" s="4"/>
      <c r="C69" s="1"/>
      <c r="D69" s="4"/>
      <c r="E69" s="1"/>
      <c r="F69" s="1"/>
      <c r="G69" s="1"/>
      <c r="H69" s="1"/>
    </row>
    <row r="70" spans="1:8" x14ac:dyDescent="0.3">
      <c r="A70" s="1"/>
      <c r="B70" s="4"/>
      <c r="C70" s="1"/>
      <c r="D70" s="4"/>
      <c r="E70" s="1"/>
      <c r="F70" s="1"/>
      <c r="G70" s="1"/>
      <c r="H70" s="1"/>
    </row>
    <row r="71" spans="1:8" x14ac:dyDescent="0.3">
      <c r="A71" s="1"/>
      <c r="B71" s="4"/>
      <c r="C71" s="1"/>
      <c r="D71" s="4"/>
      <c r="E71" s="1"/>
      <c r="F71" s="1"/>
      <c r="G71" s="1"/>
      <c r="H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710D-07E5-49A8-9E99-4B8855242D72}">
  <sheetPr>
    <tabColor theme="5"/>
  </sheetPr>
  <dimension ref="A1:M71"/>
  <sheetViews>
    <sheetView workbookViewId="0">
      <selection activeCell="K16" sqref="K16"/>
    </sheetView>
  </sheetViews>
  <sheetFormatPr defaultRowHeight="14.4" x14ac:dyDescent="0.3"/>
  <cols>
    <col min="1" max="1" width="9.6640625" style="9" bestFit="1" customWidth="1"/>
    <col min="2" max="2" width="11.44140625" bestFit="1" customWidth="1"/>
    <col min="3" max="3" width="19.109375" bestFit="1" customWidth="1"/>
    <col min="4" max="4" width="10" bestFit="1" customWidth="1"/>
    <col min="5" max="5" width="17.44140625" bestFit="1" customWidth="1"/>
    <col min="6" max="6" width="15.33203125" bestFit="1" customWidth="1"/>
    <col min="7" max="7" width="10" bestFit="1" customWidth="1"/>
    <col min="8" max="8" width="11.5546875" bestFit="1" customWidth="1"/>
    <col min="10" max="10" width="17.109375" customWidth="1"/>
    <col min="11" max="11" width="14.77734375" customWidth="1"/>
    <col min="12" max="12" width="16.109375" bestFit="1" customWidth="1"/>
    <col min="13" max="13" width="13.6640625" bestFit="1" customWidth="1"/>
  </cols>
  <sheetData>
    <row r="1" spans="1:13" ht="15.6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3" x14ac:dyDescent="0.3">
      <c r="A2" s="1">
        <v>1001</v>
      </c>
      <c r="B2" s="4">
        <v>45292</v>
      </c>
      <c r="C2" s="1" t="s">
        <v>8</v>
      </c>
      <c r="D2" s="4">
        <v>45294</v>
      </c>
      <c r="E2" s="1">
        <v>49.99</v>
      </c>
      <c r="F2" s="1">
        <v>2</v>
      </c>
      <c r="G2" s="1">
        <v>9.9980000000000011</v>
      </c>
      <c r="H2" s="1">
        <v>109.97800000000001</v>
      </c>
    </row>
    <row r="3" spans="1:13" x14ac:dyDescent="0.3">
      <c r="A3" s="1">
        <v>1002</v>
      </c>
      <c r="B3" s="4">
        <v>45292</v>
      </c>
      <c r="C3" s="1" t="s">
        <v>9</v>
      </c>
      <c r="D3" s="4">
        <v>45295</v>
      </c>
      <c r="E3" s="1">
        <v>29.99</v>
      </c>
      <c r="F3" s="1">
        <v>1</v>
      </c>
      <c r="G3" s="1">
        <v>2.9990000000000001</v>
      </c>
      <c r="H3" s="1">
        <v>32.988999999999997</v>
      </c>
      <c r="J3" s="5" t="s">
        <v>51</v>
      </c>
      <c r="K3" s="5"/>
      <c r="L3" s="5"/>
      <c r="M3" s="5"/>
    </row>
    <row r="4" spans="1:13" x14ac:dyDescent="0.3">
      <c r="A4" s="1">
        <v>1003</v>
      </c>
      <c r="B4" s="4">
        <v>45293</v>
      </c>
      <c r="C4" s="1" t="s">
        <v>10</v>
      </c>
      <c r="D4" s="4">
        <v>45298</v>
      </c>
      <c r="E4" s="1">
        <v>99.99</v>
      </c>
      <c r="F4" s="1">
        <v>3</v>
      </c>
      <c r="G4" s="1">
        <v>29.997</v>
      </c>
      <c r="H4" s="1">
        <v>329.96699999999998</v>
      </c>
      <c r="M4" s="11" t="s">
        <v>53</v>
      </c>
    </row>
    <row r="5" spans="1:13" x14ac:dyDescent="0.3">
      <c r="A5" s="1">
        <v>1004</v>
      </c>
      <c r="B5" s="4">
        <v>45293</v>
      </c>
      <c r="C5" s="1" t="s">
        <v>11</v>
      </c>
      <c r="D5" s="4">
        <v>45294</v>
      </c>
      <c r="E5" s="1">
        <v>19.989999999999998</v>
      </c>
      <c r="F5" s="1">
        <v>4</v>
      </c>
      <c r="G5" s="1">
        <v>7.9959999999999996</v>
      </c>
      <c r="H5" s="1">
        <v>87.955999999999989</v>
      </c>
      <c r="J5" s="7" t="s">
        <v>0</v>
      </c>
      <c r="K5" s="6">
        <v>1015</v>
      </c>
      <c r="M5">
        <v>1035</v>
      </c>
    </row>
    <row r="6" spans="1:13" x14ac:dyDescent="0.3">
      <c r="A6" s="1">
        <v>1005</v>
      </c>
      <c r="B6" s="4">
        <v>45294</v>
      </c>
      <c r="C6" s="1" t="s">
        <v>12</v>
      </c>
      <c r="D6" s="4">
        <v>45299</v>
      </c>
      <c r="E6" s="1">
        <v>149.99</v>
      </c>
      <c r="F6" s="1">
        <v>1</v>
      </c>
      <c r="G6" s="1">
        <v>14.999000000000002</v>
      </c>
      <c r="H6" s="1">
        <v>164.989</v>
      </c>
      <c r="J6" s="7" t="s">
        <v>52</v>
      </c>
      <c r="K6" s="10" t="str">
        <f>VLOOKUP(K5,A2:C50,3,0)</f>
        <v>Matthew Wilson</v>
      </c>
      <c r="M6" s="10" t="str">
        <f>VLOOKUP(M5,A1:C50,3,0)</f>
        <v>Matthew Hernandez</v>
      </c>
    </row>
    <row r="7" spans="1:13" x14ac:dyDescent="0.3">
      <c r="A7" s="1">
        <v>1006</v>
      </c>
      <c r="B7" s="4">
        <v>45294</v>
      </c>
      <c r="C7" s="1" t="s">
        <v>13</v>
      </c>
      <c r="D7" s="4">
        <v>45297</v>
      </c>
      <c r="E7" s="1">
        <v>79.989999999999995</v>
      </c>
      <c r="F7" s="1">
        <v>2</v>
      </c>
      <c r="G7" s="1">
        <v>15.997999999999999</v>
      </c>
      <c r="H7" s="1">
        <v>175.97799999999998</v>
      </c>
    </row>
    <row r="8" spans="1:13" x14ac:dyDescent="0.3">
      <c r="A8" s="1">
        <v>1007</v>
      </c>
      <c r="B8" s="4">
        <v>45295</v>
      </c>
      <c r="C8" s="1" t="s">
        <v>14</v>
      </c>
      <c r="D8" s="4">
        <v>45297</v>
      </c>
      <c r="E8" s="1">
        <v>39.99</v>
      </c>
      <c r="F8" s="1">
        <v>3</v>
      </c>
      <c r="G8" s="1">
        <v>11.997</v>
      </c>
      <c r="H8" s="1">
        <v>131.96699999999998</v>
      </c>
    </row>
    <row r="9" spans="1:13" x14ac:dyDescent="0.3">
      <c r="A9" s="1">
        <v>1008</v>
      </c>
      <c r="B9" s="4">
        <v>45295</v>
      </c>
      <c r="C9" s="1" t="s">
        <v>15</v>
      </c>
      <c r="D9" s="4">
        <v>45300</v>
      </c>
      <c r="E9" s="1">
        <v>69.989999999999995</v>
      </c>
      <c r="F9" s="1">
        <v>2</v>
      </c>
      <c r="G9" s="1">
        <v>13.997999999999999</v>
      </c>
      <c r="H9" s="1">
        <v>153.97799999999998</v>
      </c>
      <c r="J9" s="5" t="s">
        <v>54</v>
      </c>
      <c r="K9" s="5"/>
      <c r="L9" s="5"/>
      <c r="M9" s="5"/>
    </row>
    <row r="10" spans="1:13" x14ac:dyDescent="0.3">
      <c r="A10" s="1">
        <v>1009</v>
      </c>
      <c r="B10" s="4">
        <v>45296</v>
      </c>
      <c r="C10" s="1" t="s">
        <v>16</v>
      </c>
      <c r="D10" s="4">
        <v>45297</v>
      </c>
      <c r="E10" s="1">
        <v>89.99</v>
      </c>
      <c r="F10" s="1">
        <v>1</v>
      </c>
      <c r="G10" s="1">
        <v>8.9990000000000006</v>
      </c>
      <c r="H10" s="1">
        <v>98.98899999999999</v>
      </c>
      <c r="M10" s="11" t="s">
        <v>53</v>
      </c>
    </row>
    <row r="11" spans="1:13" x14ac:dyDescent="0.3">
      <c r="A11" s="1">
        <v>1010</v>
      </c>
      <c r="B11" s="4">
        <v>45296</v>
      </c>
      <c r="C11" s="1" t="s">
        <v>17</v>
      </c>
      <c r="D11" s="4">
        <v>45299</v>
      </c>
      <c r="E11" s="1">
        <v>199.99</v>
      </c>
      <c r="F11" s="1">
        <v>1</v>
      </c>
      <c r="G11" s="1">
        <v>19.999000000000002</v>
      </c>
      <c r="H11" s="1">
        <v>219.989</v>
      </c>
      <c r="J11" s="12" t="s">
        <v>52</v>
      </c>
      <c r="K11" t="s">
        <v>12</v>
      </c>
      <c r="M11" t="s">
        <v>39</v>
      </c>
    </row>
    <row r="12" spans="1:13" x14ac:dyDescent="0.3">
      <c r="A12" s="1">
        <v>1011</v>
      </c>
      <c r="B12" s="4">
        <v>45297</v>
      </c>
      <c r="C12" s="1" t="s">
        <v>18</v>
      </c>
      <c r="D12" s="4">
        <v>45298</v>
      </c>
      <c r="E12" s="1">
        <v>29.99</v>
      </c>
      <c r="F12" s="1">
        <v>5</v>
      </c>
      <c r="G12" s="1">
        <v>14.994999999999999</v>
      </c>
      <c r="H12" s="1">
        <v>164.94499999999999</v>
      </c>
      <c r="J12" s="12" t="s">
        <v>55</v>
      </c>
      <c r="K12" s="13">
        <f>VLOOKUP(K11,C2:H50,6,0)</f>
        <v>164.989</v>
      </c>
      <c r="M12" s="10">
        <f>VLOOKUP(M11,C2:H50,6,0)</f>
        <v>87.955999999999989</v>
      </c>
    </row>
    <row r="13" spans="1:13" x14ac:dyDescent="0.3">
      <c r="A13" s="1">
        <v>1012</v>
      </c>
      <c r="B13" s="4">
        <v>45297</v>
      </c>
      <c r="C13" s="1" t="s">
        <v>19</v>
      </c>
      <c r="D13" s="4">
        <v>45299</v>
      </c>
      <c r="E13" s="1">
        <v>79.989999999999995</v>
      </c>
      <c r="F13" s="1">
        <v>2</v>
      </c>
      <c r="G13" s="1">
        <v>15.997999999999999</v>
      </c>
      <c r="H13" s="1">
        <v>175.97799999999998</v>
      </c>
    </row>
    <row r="14" spans="1:13" x14ac:dyDescent="0.3">
      <c r="A14" s="1">
        <v>1013</v>
      </c>
      <c r="B14" s="4">
        <v>45298</v>
      </c>
      <c r="C14" s="1" t="s">
        <v>20</v>
      </c>
      <c r="D14" s="4">
        <v>45300</v>
      </c>
      <c r="E14" s="1">
        <v>49.99</v>
      </c>
      <c r="F14" s="1">
        <v>3</v>
      </c>
      <c r="G14" s="1">
        <v>14.997</v>
      </c>
      <c r="H14" s="1">
        <v>164.96699999999998</v>
      </c>
    </row>
    <row r="15" spans="1:13" ht="15.6" x14ac:dyDescent="0.3">
      <c r="A15" s="1">
        <v>1014</v>
      </c>
      <c r="B15" s="4">
        <v>45298</v>
      </c>
      <c r="C15" s="1" t="s">
        <v>21</v>
      </c>
      <c r="D15" s="4">
        <v>45303</v>
      </c>
      <c r="E15" s="1">
        <v>129.99</v>
      </c>
      <c r="F15" s="1">
        <v>1</v>
      </c>
      <c r="G15" s="1">
        <v>12.999000000000002</v>
      </c>
      <c r="H15" s="1">
        <v>142.989</v>
      </c>
      <c r="J15" s="8" t="s">
        <v>0</v>
      </c>
      <c r="K15" s="2" t="s">
        <v>1</v>
      </c>
      <c r="L15" s="2" t="s">
        <v>2</v>
      </c>
      <c r="M15" s="2" t="s">
        <v>3</v>
      </c>
    </row>
    <row r="16" spans="1:13" x14ac:dyDescent="0.3">
      <c r="A16" s="1">
        <v>1015</v>
      </c>
      <c r="B16" s="4">
        <v>45299</v>
      </c>
      <c r="C16" s="1" t="s">
        <v>22</v>
      </c>
      <c r="D16" s="4">
        <v>45304</v>
      </c>
      <c r="E16" s="1">
        <v>19.989999999999998</v>
      </c>
      <c r="F16" s="1">
        <v>4</v>
      </c>
      <c r="G16" s="1">
        <v>7.9959999999999996</v>
      </c>
      <c r="H16" s="1">
        <v>87.955999999999989</v>
      </c>
      <c r="J16" s="1">
        <v>1020</v>
      </c>
      <c r="K16" s="4">
        <f>VLOOKUP($J$16,$A$1:$H$50,2,0)</f>
        <v>45301</v>
      </c>
      <c r="L16" s="4" t="str">
        <f>VLOOKUP($J$16,$A$1:$H$50,3,0)</f>
        <v>Jennifer Davis</v>
      </c>
      <c r="M16" s="4">
        <f>VLOOKUP($J$16,$A$1:$H$50,4,0)</f>
        <v>45305</v>
      </c>
    </row>
    <row r="17" spans="1:8" x14ac:dyDescent="0.3">
      <c r="A17" s="1">
        <v>1016</v>
      </c>
      <c r="B17" s="4">
        <v>45299</v>
      </c>
      <c r="C17" s="1" t="s">
        <v>23</v>
      </c>
      <c r="D17" s="4">
        <v>45303</v>
      </c>
      <c r="E17" s="1">
        <v>149.99</v>
      </c>
      <c r="F17" s="1">
        <v>1</v>
      </c>
      <c r="G17" s="1">
        <v>14.999000000000002</v>
      </c>
      <c r="H17" s="1">
        <v>164.989</v>
      </c>
    </row>
    <row r="18" spans="1:8" x14ac:dyDescent="0.3">
      <c r="A18" s="1">
        <v>1017</v>
      </c>
      <c r="B18" s="4">
        <v>45300</v>
      </c>
      <c r="C18" s="1" t="s">
        <v>24</v>
      </c>
      <c r="D18" s="4">
        <v>45305</v>
      </c>
      <c r="E18" s="1">
        <v>69.989999999999995</v>
      </c>
      <c r="F18" s="1">
        <v>2</v>
      </c>
      <c r="G18" s="1">
        <v>13.997999999999999</v>
      </c>
      <c r="H18" s="1">
        <v>153.97799999999998</v>
      </c>
    </row>
    <row r="19" spans="1:8" x14ac:dyDescent="0.3">
      <c r="A19" s="1">
        <v>1018</v>
      </c>
      <c r="B19" s="4">
        <v>45300</v>
      </c>
      <c r="C19" s="1" t="s">
        <v>25</v>
      </c>
      <c r="D19" s="4">
        <v>45303</v>
      </c>
      <c r="E19" s="1">
        <v>39.99</v>
      </c>
      <c r="F19" s="1">
        <v>3</v>
      </c>
      <c r="G19" s="1">
        <v>11.997</v>
      </c>
      <c r="H19" s="1">
        <v>131.96699999999998</v>
      </c>
    </row>
    <row r="20" spans="1:8" x14ac:dyDescent="0.3">
      <c r="A20" s="1">
        <v>1019</v>
      </c>
      <c r="B20" s="4">
        <v>45301</v>
      </c>
      <c r="C20" s="1" t="s">
        <v>26</v>
      </c>
      <c r="D20" s="4">
        <v>45302</v>
      </c>
      <c r="E20" s="1">
        <v>199.99</v>
      </c>
      <c r="F20" s="1">
        <v>1</v>
      </c>
      <c r="G20" s="1">
        <v>19.999000000000002</v>
      </c>
      <c r="H20" s="1">
        <v>219.989</v>
      </c>
    </row>
    <row r="21" spans="1:8" x14ac:dyDescent="0.3">
      <c r="A21" s="1">
        <v>1020</v>
      </c>
      <c r="B21" s="4">
        <v>45301</v>
      </c>
      <c r="C21" s="1" t="s">
        <v>27</v>
      </c>
      <c r="D21" s="4">
        <v>45305</v>
      </c>
      <c r="E21" s="1">
        <v>29.99</v>
      </c>
      <c r="F21" s="1">
        <v>5</v>
      </c>
      <c r="G21" s="1">
        <v>14.994999999999999</v>
      </c>
      <c r="H21" s="1">
        <v>164.94499999999999</v>
      </c>
    </row>
    <row r="22" spans="1:8" x14ac:dyDescent="0.3">
      <c r="A22" s="1">
        <v>1021</v>
      </c>
      <c r="B22" s="4">
        <v>45302</v>
      </c>
      <c r="C22" s="1" t="s">
        <v>28</v>
      </c>
      <c r="D22" s="4">
        <v>45305</v>
      </c>
      <c r="E22" s="1">
        <v>79.989999999999995</v>
      </c>
      <c r="F22" s="1">
        <v>2</v>
      </c>
      <c r="G22" s="1">
        <v>15.997999999999999</v>
      </c>
      <c r="H22" s="1">
        <v>175.97799999999998</v>
      </c>
    </row>
    <row r="23" spans="1:8" x14ac:dyDescent="0.3">
      <c r="A23" s="1">
        <v>1022</v>
      </c>
      <c r="B23" s="4">
        <v>45302</v>
      </c>
      <c r="C23" s="1" t="s">
        <v>29</v>
      </c>
      <c r="D23" s="4">
        <v>45306</v>
      </c>
      <c r="E23" s="1">
        <v>49.99</v>
      </c>
      <c r="F23" s="1">
        <v>3</v>
      </c>
      <c r="G23" s="1">
        <v>14.997</v>
      </c>
      <c r="H23" s="1">
        <v>164.96699999999998</v>
      </c>
    </row>
    <row r="24" spans="1:8" x14ac:dyDescent="0.3">
      <c r="A24" s="1">
        <v>1023</v>
      </c>
      <c r="B24" s="4">
        <v>45303</v>
      </c>
      <c r="C24" s="1" t="s">
        <v>30</v>
      </c>
      <c r="D24" s="4">
        <v>45308</v>
      </c>
      <c r="E24" s="1">
        <v>129.99</v>
      </c>
      <c r="F24" s="1">
        <v>1</v>
      </c>
      <c r="G24" s="1">
        <v>12.999000000000002</v>
      </c>
      <c r="H24" s="1">
        <v>142.989</v>
      </c>
    </row>
    <row r="25" spans="1:8" x14ac:dyDescent="0.3">
      <c r="A25" s="1">
        <v>1024</v>
      </c>
      <c r="B25" s="4">
        <v>45303</v>
      </c>
      <c r="C25" s="1" t="s">
        <v>31</v>
      </c>
      <c r="D25" s="4">
        <v>45308</v>
      </c>
      <c r="E25" s="1">
        <v>19.989999999999998</v>
      </c>
      <c r="F25" s="1">
        <v>4</v>
      </c>
      <c r="G25" s="1">
        <v>7.9959999999999996</v>
      </c>
      <c r="H25" s="1">
        <v>87.955999999999989</v>
      </c>
    </row>
    <row r="26" spans="1:8" x14ac:dyDescent="0.3">
      <c r="A26" s="1">
        <v>1025</v>
      </c>
      <c r="B26" s="4">
        <v>45304</v>
      </c>
      <c r="C26" s="1" t="s">
        <v>12</v>
      </c>
      <c r="D26" s="4">
        <v>45308</v>
      </c>
      <c r="E26" s="1">
        <v>149.99</v>
      </c>
      <c r="F26" s="1">
        <v>1</v>
      </c>
      <c r="G26" s="1">
        <v>14.999000000000002</v>
      </c>
      <c r="H26" s="1">
        <v>164.989</v>
      </c>
    </row>
    <row r="27" spans="1:8" x14ac:dyDescent="0.3">
      <c r="A27" s="1">
        <v>1026</v>
      </c>
      <c r="B27" s="4">
        <v>45304</v>
      </c>
      <c r="C27" s="1" t="s">
        <v>32</v>
      </c>
      <c r="D27" s="4">
        <v>45305</v>
      </c>
      <c r="E27" s="1">
        <v>69.989999999999995</v>
      </c>
      <c r="F27" s="1">
        <v>2</v>
      </c>
      <c r="G27" s="1">
        <v>13.997999999999999</v>
      </c>
      <c r="H27" s="1">
        <v>153.97799999999998</v>
      </c>
    </row>
    <row r="28" spans="1:8" x14ac:dyDescent="0.3">
      <c r="A28" s="1">
        <v>1027</v>
      </c>
      <c r="B28" s="4">
        <v>45305</v>
      </c>
      <c r="C28" s="1" t="s">
        <v>33</v>
      </c>
      <c r="D28" s="4">
        <v>45309</v>
      </c>
      <c r="E28" s="1">
        <v>39.99</v>
      </c>
      <c r="F28" s="1">
        <v>3</v>
      </c>
      <c r="G28" s="1">
        <v>11.997</v>
      </c>
      <c r="H28" s="1">
        <v>131.96699999999998</v>
      </c>
    </row>
    <row r="29" spans="1:8" x14ac:dyDescent="0.3">
      <c r="A29" s="1">
        <v>1028</v>
      </c>
      <c r="B29" s="4">
        <v>45305</v>
      </c>
      <c r="C29" s="1" t="s">
        <v>34</v>
      </c>
      <c r="D29" s="4">
        <v>45310</v>
      </c>
      <c r="E29" s="1">
        <v>199.99</v>
      </c>
      <c r="F29" s="1">
        <v>1</v>
      </c>
      <c r="G29" s="1">
        <v>19.999000000000002</v>
      </c>
      <c r="H29" s="1">
        <v>219.989</v>
      </c>
    </row>
    <row r="30" spans="1:8" x14ac:dyDescent="0.3">
      <c r="A30" s="1">
        <v>1029</v>
      </c>
      <c r="B30" s="4">
        <v>45306</v>
      </c>
      <c r="C30" s="1" t="s">
        <v>35</v>
      </c>
      <c r="D30" s="4">
        <v>45310</v>
      </c>
      <c r="E30" s="1">
        <v>29.99</v>
      </c>
      <c r="F30" s="1">
        <v>5</v>
      </c>
      <c r="G30" s="1">
        <v>14.994999999999999</v>
      </c>
      <c r="H30" s="1">
        <v>164.94499999999999</v>
      </c>
    </row>
    <row r="31" spans="1:8" x14ac:dyDescent="0.3">
      <c r="A31" s="1">
        <v>1030</v>
      </c>
      <c r="B31" s="4">
        <v>45306</v>
      </c>
      <c r="C31" s="1" t="s">
        <v>36</v>
      </c>
      <c r="D31" s="4">
        <v>45310</v>
      </c>
      <c r="E31" s="1">
        <v>79.989999999999995</v>
      </c>
      <c r="F31" s="1">
        <v>2</v>
      </c>
      <c r="G31" s="1">
        <v>15.997999999999999</v>
      </c>
      <c r="H31" s="1">
        <v>175.97799999999998</v>
      </c>
    </row>
    <row r="32" spans="1:8" x14ac:dyDescent="0.3">
      <c r="A32" s="1">
        <v>1031</v>
      </c>
      <c r="B32" s="4">
        <v>45307</v>
      </c>
      <c r="C32" s="1" t="s">
        <v>37</v>
      </c>
      <c r="D32" s="4">
        <v>45310</v>
      </c>
      <c r="E32" s="1">
        <v>49.99</v>
      </c>
      <c r="F32" s="1">
        <v>3</v>
      </c>
      <c r="G32" s="1">
        <v>14.997</v>
      </c>
      <c r="H32" s="1">
        <v>164.96699999999998</v>
      </c>
    </row>
    <row r="33" spans="1:8" x14ac:dyDescent="0.3">
      <c r="A33" s="1">
        <v>1032</v>
      </c>
      <c r="B33" s="4">
        <v>45307</v>
      </c>
      <c r="C33" s="1" t="s">
        <v>38</v>
      </c>
      <c r="D33" s="4">
        <v>45308</v>
      </c>
      <c r="E33" s="1">
        <v>129.99</v>
      </c>
      <c r="F33" s="1">
        <v>1</v>
      </c>
      <c r="G33" s="1">
        <v>12.999000000000002</v>
      </c>
      <c r="H33" s="1">
        <v>142.989</v>
      </c>
    </row>
    <row r="34" spans="1:8" x14ac:dyDescent="0.3">
      <c r="A34" s="1">
        <v>1033</v>
      </c>
      <c r="B34" s="4">
        <v>45308</v>
      </c>
      <c r="C34" s="1" t="s">
        <v>39</v>
      </c>
      <c r="D34" s="4">
        <v>45310</v>
      </c>
      <c r="E34" s="1">
        <v>19.989999999999998</v>
      </c>
      <c r="F34" s="1">
        <v>4</v>
      </c>
      <c r="G34" s="1">
        <v>7.9959999999999996</v>
      </c>
      <c r="H34" s="1">
        <v>87.955999999999989</v>
      </c>
    </row>
    <row r="35" spans="1:8" x14ac:dyDescent="0.3">
      <c r="A35" s="1">
        <v>1034</v>
      </c>
      <c r="B35" s="4">
        <v>45308</v>
      </c>
      <c r="C35" s="1" t="s">
        <v>40</v>
      </c>
      <c r="D35" s="4">
        <v>45310</v>
      </c>
      <c r="E35" s="1">
        <v>149.99</v>
      </c>
      <c r="F35" s="1">
        <v>1</v>
      </c>
      <c r="G35" s="1">
        <v>14.999000000000002</v>
      </c>
      <c r="H35" s="1">
        <v>164.989</v>
      </c>
    </row>
    <row r="36" spans="1:8" x14ac:dyDescent="0.3">
      <c r="A36" s="1">
        <v>1035</v>
      </c>
      <c r="B36" s="4">
        <v>45309</v>
      </c>
      <c r="C36" s="1" t="s">
        <v>41</v>
      </c>
      <c r="D36" s="4">
        <v>45314</v>
      </c>
      <c r="E36" s="1">
        <v>69.989999999999995</v>
      </c>
      <c r="F36" s="1">
        <v>2</v>
      </c>
      <c r="G36" s="1">
        <v>13.997999999999999</v>
      </c>
      <c r="H36" s="1">
        <v>153.97799999999998</v>
      </c>
    </row>
    <row r="37" spans="1:8" x14ac:dyDescent="0.3">
      <c r="A37" s="1">
        <v>1036</v>
      </c>
      <c r="B37" s="4">
        <v>45309</v>
      </c>
      <c r="C37" s="1" t="s">
        <v>42</v>
      </c>
      <c r="D37" s="4">
        <v>45310</v>
      </c>
      <c r="E37" s="1">
        <v>39.99</v>
      </c>
      <c r="F37" s="1">
        <v>3</v>
      </c>
      <c r="G37" s="1">
        <v>11.997</v>
      </c>
      <c r="H37" s="1">
        <v>131.96699999999998</v>
      </c>
    </row>
    <row r="38" spans="1:8" x14ac:dyDescent="0.3">
      <c r="A38" s="1">
        <v>1037</v>
      </c>
      <c r="B38" s="4">
        <v>45310</v>
      </c>
      <c r="C38" s="1" t="s">
        <v>43</v>
      </c>
      <c r="D38" s="4">
        <v>45311</v>
      </c>
      <c r="E38" s="1">
        <v>199.99</v>
      </c>
      <c r="F38" s="1">
        <v>1</v>
      </c>
      <c r="G38" s="1">
        <v>19.999000000000002</v>
      </c>
      <c r="H38" s="1">
        <v>219.989</v>
      </c>
    </row>
    <row r="39" spans="1:8" x14ac:dyDescent="0.3">
      <c r="A39" s="1">
        <v>1038</v>
      </c>
      <c r="B39" s="4">
        <v>45310</v>
      </c>
      <c r="C39" s="1" t="s">
        <v>44</v>
      </c>
      <c r="D39" s="4">
        <v>45313</v>
      </c>
      <c r="E39" s="1">
        <v>29.99</v>
      </c>
      <c r="F39" s="1">
        <v>5</v>
      </c>
      <c r="G39" s="1">
        <v>14.994999999999999</v>
      </c>
      <c r="H39" s="1">
        <v>164.94499999999999</v>
      </c>
    </row>
    <row r="40" spans="1:8" x14ac:dyDescent="0.3">
      <c r="A40" s="1">
        <v>1039</v>
      </c>
      <c r="B40" s="4">
        <v>45311</v>
      </c>
      <c r="C40" s="1" t="s">
        <v>10</v>
      </c>
      <c r="D40" s="4">
        <v>45315</v>
      </c>
      <c r="E40" s="1">
        <v>79.989999999999995</v>
      </c>
      <c r="F40" s="1">
        <v>2</v>
      </c>
      <c r="G40" s="1">
        <v>15.997999999999999</v>
      </c>
      <c r="H40" s="1">
        <v>175.97799999999998</v>
      </c>
    </row>
    <row r="41" spans="1:8" x14ac:dyDescent="0.3">
      <c r="A41" s="1">
        <v>1040</v>
      </c>
      <c r="B41" s="4">
        <v>45311</v>
      </c>
      <c r="C41" s="1" t="s">
        <v>31</v>
      </c>
      <c r="D41" s="4">
        <v>45312</v>
      </c>
      <c r="E41" s="1">
        <v>49.99</v>
      </c>
      <c r="F41" s="1">
        <v>3</v>
      </c>
      <c r="G41" s="1">
        <v>14.997</v>
      </c>
      <c r="H41" s="1">
        <v>164.96699999999998</v>
      </c>
    </row>
    <row r="42" spans="1:8" x14ac:dyDescent="0.3">
      <c r="A42" s="1">
        <v>1041</v>
      </c>
      <c r="B42" s="4">
        <v>45312</v>
      </c>
      <c r="C42" s="1" t="s">
        <v>12</v>
      </c>
      <c r="D42" s="4">
        <v>45317</v>
      </c>
      <c r="E42" s="1">
        <v>129.99</v>
      </c>
      <c r="F42" s="1">
        <v>1</v>
      </c>
      <c r="G42" s="1">
        <v>12.999000000000002</v>
      </c>
      <c r="H42" s="1">
        <v>142.989</v>
      </c>
    </row>
    <row r="43" spans="1:8" x14ac:dyDescent="0.3">
      <c r="A43" s="1">
        <v>1042</v>
      </c>
      <c r="B43" s="4">
        <v>45312</v>
      </c>
      <c r="C43" s="1" t="s">
        <v>45</v>
      </c>
      <c r="D43" s="4">
        <v>45314</v>
      </c>
      <c r="E43" s="1">
        <v>19.989999999999998</v>
      </c>
      <c r="F43" s="1">
        <v>4</v>
      </c>
      <c r="G43" s="1">
        <v>7.9959999999999996</v>
      </c>
      <c r="H43" s="1">
        <v>87.955999999999989</v>
      </c>
    </row>
    <row r="44" spans="1:8" x14ac:dyDescent="0.3">
      <c r="A44" s="1">
        <v>1043</v>
      </c>
      <c r="B44" s="4">
        <v>45313</v>
      </c>
      <c r="C44" s="1" t="s">
        <v>46</v>
      </c>
      <c r="D44" s="4">
        <v>45316</v>
      </c>
      <c r="E44" s="1">
        <v>149.99</v>
      </c>
      <c r="F44" s="1">
        <v>1</v>
      </c>
      <c r="G44" s="1">
        <v>14.999000000000002</v>
      </c>
      <c r="H44" s="1">
        <v>164.989</v>
      </c>
    </row>
    <row r="45" spans="1:8" x14ac:dyDescent="0.3">
      <c r="A45" s="1">
        <v>1044</v>
      </c>
      <c r="B45" s="4">
        <v>45313</v>
      </c>
      <c r="C45" s="1" t="s">
        <v>11</v>
      </c>
      <c r="D45" s="4">
        <v>45316</v>
      </c>
      <c r="E45" s="1">
        <v>69.989999999999995</v>
      </c>
      <c r="F45" s="1">
        <v>2</v>
      </c>
      <c r="G45" s="1">
        <v>13.997999999999999</v>
      </c>
      <c r="H45" s="1">
        <v>153.97799999999998</v>
      </c>
    </row>
    <row r="46" spans="1:8" x14ac:dyDescent="0.3">
      <c r="A46" s="1">
        <v>1045</v>
      </c>
      <c r="B46" s="4">
        <v>45314</v>
      </c>
      <c r="C46" s="1" t="s">
        <v>47</v>
      </c>
      <c r="D46" s="4">
        <v>45318</v>
      </c>
      <c r="E46" s="1">
        <v>39.99</v>
      </c>
      <c r="F46" s="1">
        <v>3</v>
      </c>
      <c r="G46" s="1">
        <v>11.997</v>
      </c>
      <c r="H46" s="1">
        <v>131.96699999999998</v>
      </c>
    </row>
    <row r="47" spans="1:8" x14ac:dyDescent="0.3">
      <c r="A47" s="1">
        <v>1046</v>
      </c>
      <c r="B47" s="4">
        <v>45314</v>
      </c>
      <c r="C47" s="1" t="s">
        <v>27</v>
      </c>
      <c r="D47" s="4">
        <v>45317</v>
      </c>
      <c r="E47" s="1">
        <v>199.99</v>
      </c>
      <c r="F47" s="1">
        <v>1</v>
      </c>
      <c r="G47" s="1">
        <v>19.999000000000002</v>
      </c>
      <c r="H47" s="1">
        <v>219.989</v>
      </c>
    </row>
    <row r="48" spans="1:8" x14ac:dyDescent="0.3">
      <c r="A48" s="1">
        <v>1047</v>
      </c>
      <c r="B48" s="4">
        <v>45315</v>
      </c>
      <c r="C48" s="1" t="s">
        <v>48</v>
      </c>
      <c r="D48" s="4">
        <v>45316</v>
      </c>
      <c r="E48" s="1">
        <v>29.99</v>
      </c>
      <c r="F48" s="1">
        <v>5</v>
      </c>
      <c r="G48" s="1">
        <v>14.994999999999999</v>
      </c>
      <c r="H48" s="1">
        <v>164.94499999999999</v>
      </c>
    </row>
    <row r="49" spans="1:8" x14ac:dyDescent="0.3">
      <c r="A49" s="1">
        <v>1048</v>
      </c>
      <c r="B49" s="4">
        <v>45315</v>
      </c>
      <c r="C49" s="1" t="s">
        <v>49</v>
      </c>
      <c r="D49" s="4">
        <v>45317</v>
      </c>
      <c r="E49" s="1">
        <v>79.989999999999995</v>
      </c>
      <c r="F49" s="1">
        <v>2</v>
      </c>
      <c r="G49" s="1">
        <v>15.997999999999999</v>
      </c>
      <c r="H49" s="1">
        <v>175.97799999999998</v>
      </c>
    </row>
    <row r="50" spans="1:8" x14ac:dyDescent="0.3">
      <c r="A50" s="1">
        <v>1049</v>
      </c>
      <c r="B50" s="4">
        <v>45316</v>
      </c>
      <c r="C50" s="1" t="s">
        <v>50</v>
      </c>
      <c r="D50" s="4">
        <v>45321</v>
      </c>
      <c r="E50" s="1">
        <v>49.99</v>
      </c>
      <c r="F50" s="1">
        <v>3</v>
      </c>
      <c r="G50" s="1">
        <v>14.997</v>
      </c>
      <c r="H50" s="1">
        <v>164.96699999999998</v>
      </c>
    </row>
    <row r="51" spans="1:8" x14ac:dyDescent="0.3">
      <c r="A51" s="1"/>
      <c r="B51" s="4"/>
      <c r="C51" s="1"/>
      <c r="D51" s="4"/>
      <c r="E51" s="1"/>
      <c r="F51" s="1"/>
      <c r="G51" s="1"/>
      <c r="H51" s="1"/>
    </row>
    <row r="52" spans="1:8" x14ac:dyDescent="0.3">
      <c r="A52" s="1"/>
      <c r="B52" s="4"/>
      <c r="C52" s="1"/>
      <c r="D52" s="4"/>
      <c r="E52" s="1"/>
      <c r="F52" s="1"/>
      <c r="G52" s="1"/>
      <c r="H52" s="1"/>
    </row>
    <row r="53" spans="1:8" x14ac:dyDescent="0.3">
      <c r="A53" s="1"/>
      <c r="B53" s="4"/>
      <c r="C53" s="1"/>
      <c r="D53" s="4"/>
      <c r="E53" s="1"/>
      <c r="F53" s="1"/>
      <c r="G53" s="1"/>
      <c r="H53" s="1"/>
    </row>
    <row r="54" spans="1:8" x14ac:dyDescent="0.3">
      <c r="A54" s="1"/>
      <c r="B54" s="4"/>
      <c r="C54" s="1"/>
      <c r="D54" s="4"/>
      <c r="E54" s="1"/>
      <c r="F54" s="1"/>
      <c r="G54" s="1"/>
      <c r="H54" s="1"/>
    </row>
    <row r="55" spans="1:8" x14ac:dyDescent="0.3">
      <c r="A55" s="1"/>
      <c r="B55" s="4"/>
      <c r="C55" s="1"/>
      <c r="D55" s="4"/>
      <c r="E55" s="1"/>
      <c r="F55" s="1"/>
      <c r="G55" s="1"/>
      <c r="H55" s="1"/>
    </row>
    <row r="56" spans="1:8" x14ac:dyDescent="0.3">
      <c r="A56" s="1"/>
      <c r="B56" s="4"/>
      <c r="C56" s="1"/>
      <c r="D56" s="4"/>
      <c r="E56" s="1"/>
      <c r="F56" s="1"/>
      <c r="G56" s="1"/>
      <c r="H56" s="1"/>
    </row>
    <row r="57" spans="1:8" x14ac:dyDescent="0.3">
      <c r="A57" s="1"/>
      <c r="B57" s="4"/>
      <c r="C57" s="1"/>
      <c r="D57" s="4"/>
      <c r="E57" s="1"/>
      <c r="F57" s="1"/>
      <c r="G57" s="1"/>
      <c r="H57" s="1"/>
    </row>
    <row r="58" spans="1:8" x14ac:dyDescent="0.3">
      <c r="A58" s="1"/>
      <c r="B58" s="4"/>
      <c r="C58" s="1"/>
      <c r="D58" s="4"/>
      <c r="E58" s="1"/>
      <c r="F58" s="1"/>
      <c r="G58" s="1"/>
      <c r="H58" s="1"/>
    </row>
    <row r="59" spans="1:8" x14ac:dyDescent="0.3">
      <c r="A59" s="1"/>
      <c r="B59" s="4"/>
      <c r="C59" s="1"/>
      <c r="D59" s="4"/>
      <c r="E59" s="1"/>
      <c r="F59" s="1"/>
      <c r="G59" s="1"/>
      <c r="H59" s="1"/>
    </row>
    <row r="60" spans="1:8" x14ac:dyDescent="0.3">
      <c r="A60" s="1"/>
      <c r="B60" s="4"/>
      <c r="C60" s="1"/>
      <c r="D60" s="4"/>
      <c r="E60" s="1"/>
      <c r="F60" s="1"/>
      <c r="G60" s="1"/>
      <c r="H60" s="1"/>
    </row>
    <row r="61" spans="1:8" x14ac:dyDescent="0.3">
      <c r="A61" s="1"/>
      <c r="B61" s="4"/>
      <c r="C61" s="1"/>
      <c r="D61" s="4"/>
      <c r="E61" s="1"/>
      <c r="F61" s="1"/>
      <c r="G61" s="1"/>
      <c r="H61" s="1"/>
    </row>
    <row r="62" spans="1:8" x14ac:dyDescent="0.3">
      <c r="A62" s="1"/>
      <c r="B62" s="4"/>
      <c r="C62" s="1"/>
      <c r="D62" s="4"/>
      <c r="E62" s="1"/>
      <c r="F62" s="1"/>
      <c r="G62" s="1"/>
      <c r="H62" s="1"/>
    </row>
    <row r="63" spans="1:8" x14ac:dyDescent="0.3">
      <c r="A63" s="1"/>
      <c r="B63" s="4"/>
      <c r="C63" s="1"/>
      <c r="D63" s="4"/>
      <c r="E63" s="1"/>
      <c r="F63" s="1"/>
      <c r="G63" s="1"/>
      <c r="H63" s="1"/>
    </row>
    <row r="64" spans="1:8" x14ac:dyDescent="0.3">
      <c r="A64" s="1"/>
      <c r="B64" s="4"/>
      <c r="C64" s="1"/>
      <c r="D64" s="4"/>
      <c r="E64" s="1"/>
      <c r="F64" s="1"/>
      <c r="G64" s="1"/>
      <c r="H64" s="1"/>
    </row>
    <row r="65" spans="1:8" x14ac:dyDescent="0.3">
      <c r="A65" s="1"/>
      <c r="B65" s="4"/>
      <c r="C65" s="1"/>
      <c r="D65" s="4"/>
      <c r="E65" s="1"/>
      <c r="F65" s="1"/>
      <c r="G65" s="1"/>
      <c r="H65" s="1"/>
    </row>
    <row r="66" spans="1:8" x14ac:dyDescent="0.3">
      <c r="A66" s="1"/>
      <c r="B66" s="4"/>
      <c r="C66" s="1"/>
      <c r="D66" s="4"/>
      <c r="E66" s="1"/>
      <c r="F66" s="1"/>
      <c r="G66" s="1"/>
      <c r="H66" s="1"/>
    </row>
    <row r="67" spans="1:8" x14ac:dyDescent="0.3">
      <c r="A67" s="1"/>
      <c r="B67" s="4"/>
      <c r="C67" s="1"/>
      <c r="D67" s="4"/>
      <c r="E67" s="1"/>
      <c r="F67" s="1"/>
      <c r="G67" s="1"/>
      <c r="H67" s="1"/>
    </row>
    <row r="68" spans="1:8" x14ac:dyDescent="0.3">
      <c r="A68" s="1"/>
      <c r="B68" s="4"/>
      <c r="C68" s="1"/>
      <c r="D68" s="4"/>
      <c r="E68" s="1"/>
      <c r="F68" s="1"/>
      <c r="G68" s="1"/>
      <c r="H68" s="1"/>
    </row>
    <row r="69" spans="1:8" x14ac:dyDescent="0.3">
      <c r="A69" s="1"/>
      <c r="B69" s="4"/>
      <c r="C69" s="1"/>
      <c r="D69" s="4"/>
      <c r="E69" s="1"/>
      <c r="F69" s="1"/>
      <c r="G69" s="1"/>
      <c r="H69" s="1"/>
    </row>
    <row r="70" spans="1:8" x14ac:dyDescent="0.3">
      <c r="A70" s="1"/>
      <c r="B70" s="4"/>
      <c r="C70" s="1"/>
      <c r="D70" s="4"/>
      <c r="E70" s="1"/>
      <c r="F70" s="1"/>
      <c r="G70" s="1"/>
      <c r="H70" s="1"/>
    </row>
    <row r="71" spans="1:8" x14ac:dyDescent="0.3">
      <c r="A71" s="1"/>
      <c r="B71" s="4"/>
      <c r="C71" s="1"/>
      <c r="D71" s="4"/>
      <c r="E71" s="1"/>
      <c r="F71" s="1"/>
      <c r="G71" s="1"/>
      <c r="H71" s="1"/>
    </row>
  </sheetData>
  <dataValidations count="2">
    <dataValidation type="list" allowBlank="1" showInputMessage="1" showErrorMessage="1" sqref="M5" xr:uid="{9F78ACD4-6A7A-4352-944B-BE717BF63917}">
      <formula1>$A:$A</formula1>
    </dataValidation>
    <dataValidation type="list" allowBlank="1" showInputMessage="1" showErrorMessage="1" sqref="M11" xr:uid="{B39BA197-A731-430B-8639-65B2D2E6D653}">
      <formula1>$C:$C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DC26-B7B5-4B51-A8AD-861AD2C66361}">
  <sheetPr>
    <tabColor theme="9"/>
  </sheetPr>
  <dimension ref="A2:F22"/>
  <sheetViews>
    <sheetView workbookViewId="0">
      <selection activeCell="J9" sqref="J9"/>
    </sheetView>
  </sheetViews>
  <sheetFormatPr defaultRowHeight="14.4" x14ac:dyDescent="0.3"/>
  <cols>
    <col min="1" max="1" width="18.88671875" customWidth="1"/>
    <col min="2" max="2" width="15.44140625" customWidth="1"/>
    <col min="3" max="4" width="14.6640625" bestFit="1" customWidth="1"/>
    <col min="5" max="5" width="13.6640625" bestFit="1" customWidth="1"/>
    <col min="6" max="6" width="11.5546875" bestFit="1" customWidth="1"/>
  </cols>
  <sheetData>
    <row r="2" spans="1:6" ht="15.6" x14ac:dyDescent="0.3">
      <c r="A2" s="8" t="s">
        <v>0</v>
      </c>
      <c r="B2" s="15">
        <v>1001</v>
      </c>
      <c r="C2" s="15">
        <v>1002</v>
      </c>
      <c r="D2" s="15">
        <v>1003</v>
      </c>
      <c r="E2" s="15">
        <v>1004</v>
      </c>
      <c r="F2" s="15">
        <v>1005</v>
      </c>
    </row>
    <row r="3" spans="1:6" ht="15.6" x14ac:dyDescent="0.3">
      <c r="A3" s="2" t="s">
        <v>1</v>
      </c>
      <c r="B3" s="16">
        <v>45292</v>
      </c>
      <c r="C3" s="16">
        <v>45292</v>
      </c>
      <c r="D3" s="16">
        <v>45293</v>
      </c>
      <c r="E3" s="16">
        <v>45293</v>
      </c>
      <c r="F3" s="16">
        <v>45294</v>
      </c>
    </row>
    <row r="4" spans="1:6" ht="15.6" x14ac:dyDescent="0.3">
      <c r="A4" s="2" t="s">
        <v>2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</row>
    <row r="5" spans="1:6" ht="15.6" x14ac:dyDescent="0.3">
      <c r="A5" s="2" t="s">
        <v>3</v>
      </c>
      <c r="B5" s="16">
        <v>45294</v>
      </c>
      <c r="C5" s="16">
        <v>45295</v>
      </c>
      <c r="D5" s="16">
        <v>45298</v>
      </c>
      <c r="E5" s="16">
        <v>45294</v>
      </c>
      <c r="F5" s="16">
        <v>45299</v>
      </c>
    </row>
    <row r="6" spans="1:6" ht="15.6" x14ac:dyDescent="0.3">
      <c r="A6" s="2" t="s">
        <v>4</v>
      </c>
      <c r="B6" s="15">
        <v>49.99</v>
      </c>
      <c r="C6" s="15">
        <v>29.99</v>
      </c>
      <c r="D6" s="15">
        <v>99.99</v>
      </c>
      <c r="E6" s="15">
        <v>19.989999999999998</v>
      </c>
      <c r="F6" s="15">
        <v>149.99</v>
      </c>
    </row>
    <row r="7" spans="1:6" ht="15.6" x14ac:dyDescent="0.3">
      <c r="A7" s="2" t="s">
        <v>5</v>
      </c>
      <c r="B7" s="15">
        <v>2</v>
      </c>
      <c r="C7" s="15">
        <v>1</v>
      </c>
      <c r="D7" s="15">
        <v>3</v>
      </c>
      <c r="E7" s="17">
        <v>4</v>
      </c>
      <c r="F7" s="17">
        <v>1</v>
      </c>
    </row>
    <row r="8" spans="1:6" ht="15.6" x14ac:dyDescent="0.3">
      <c r="A8" s="2" t="s">
        <v>6</v>
      </c>
      <c r="B8" s="15">
        <v>9.9980000000000011</v>
      </c>
      <c r="C8" s="15">
        <v>2.9990000000000001</v>
      </c>
      <c r="D8" s="15">
        <v>29.997</v>
      </c>
      <c r="E8" s="15">
        <v>7.9959999999999996</v>
      </c>
      <c r="F8" s="15">
        <v>14.999000000000002</v>
      </c>
    </row>
    <row r="9" spans="1:6" ht="15.6" x14ac:dyDescent="0.3">
      <c r="A9" s="3" t="s">
        <v>7</v>
      </c>
      <c r="B9" s="15">
        <v>109.97800000000001</v>
      </c>
      <c r="C9" s="15">
        <v>32.988999999999997</v>
      </c>
      <c r="D9" s="15">
        <v>329.96699999999998</v>
      </c>
      <c r="E9" s="15">
        <v>87.955999999999989</v>
      </c>
      <c r="F9" s="15">
        <v>164.989</v>
      </c>
    </row>
    <row r="13" spans="1:6" x14ac:dyDescent="0.3">
      <c r="B13" s="5" t="s">
        <v>68</v>
      </c>
      <c r="C13" s="5"/>
      <c r="D13" s="5"/>
      <c r="E13" s="5"/>
    </row>
    <row r="14" spans="1:6" x14ac:dyDescent="0.3">
      <c r="E14" s="11" t="s">
        <v>53</v>
      </c>
    </row>
    <row r="15" spans="1:6" x14ac:dyDescent="0.3">
      <c r="B15" s="14" t="s">
        <v>2</v>
      </c>
      <c r="C15" t="s">
        <v>10</v>
      </c>
      <c r="E15" t="s">
        <v>11</v>
      </c>
    </row>
    <row r="16" spans="1:6" x14ac:dyDescent="0.3">
      <c r="B16" s="14" t="s">
        <v>55</v>
      </c>
      <c r="C16" s="10">
        <f>HLOOKUP(C15,A4:F9,6,0)</f>
        <v>329.96699999999998</v>
      </c>
      <c r="E16" s="10">
        <f>HLOOKUP(E15,A4:F9,6,0)</f>
        <v>87.955999999999989</v>
      </c>
    </row>
    <row r="19" spans="2:5" x14ac:dyDescent="0.3">
      <c r="B19" s="5" t="s">
        <v>69</v>
      </c>
      <c r="C19" s="5"/>
      <c r="D19" s="5"/>
    </row>
    <row r="20" spans="2:5" x14ac:dyDescent="0.3">
      <c r="E20" s="11" t="s">
        <v>53</v>
      </c>
    </row>
    <row r="21" spans="2:5" x14ac:dyDescent="0.3">
      <c r="B21" s="14" t="s">
        <v>61</v>
      </c>
      <c r="C21">
        <v>1003</v>
      </c>
      <c r="E21">
        <v>1002</v>
      </c>
    </row>
    <row r="22" spans="2:5" x14ac:dyDescent="0.3">
      <c r="B22" s="14" t="s">
        <v>70</v>
      </c>
      <c r="C22" s="10">
        <f>HLOOKUP(C21,A2:F6,5,0)</f>
        <v>99.99</v>
      </c>
      <c r="E22" s="10">
        <f>HLOOKUP(E21,A2:F6,5,0)</f>
        <v>29.99</v>
      </c>
    </row>
  </sheetData>
  <dataValidations count="2">
    <dataValidation type="list" allowBlank="1" showInputMessage="1" showErrorMessage="1" sqref="E15" xr:uid="{574E033F-126A-4726-8C6A-76781E9DC3AE}">
      <formula1>$A$4:$F$4</formula1>
    </dataValidation>
    <dataValidation type="list" allowBlank="1" showInputMessage="1" showErrorMessage="1" sqref="E21" xr:uid="{882A2A99-801F-45A1-91BE-75FF1F6AAFE5}">
      <formula1>$A$2:$F$2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D05-1731-4B86-B351-8179D1DB3C0E}">
  <sheetPr>
    <tabColor theme="4"/>
  </sheetPr>
  <dimension ref="A1:N49"/>
  <sheetViews>
    <sheetView workbookViewId="0">
      <selection activeCell="K6" sqref="K6"/>
    </sheetView>
  </sheetViews>
  <sheetFormatPr defaultRowHeight="14.4" x14ac:dyDescent="0.3"/>
  <cols>
    <col min="1" max="1" width="9.6640625" bestFit="1" customWidth="1"/>
    <col min="2" max="2" width="11.44140625" bestFit="1" customWidth="1"/>
    <col min="3" max="3" width="19.109375" bestFit="1" customWidth="1"/>
    <col min="4" max="4" width="10" bestFit="1" customWidth="1"/>
    <col min="5" max="5" width="17.44140625" bestFit="1" customWidth="1"/>
    <col min="6" max="6" width="15.33203125" bestFit="1" customWidth="1"/>
    <col min="7" max="7" width="10" bestFit="1" customWidth="1"/>
    <col min="8" max="8" width="11.5546875" bestFit="1" customWidth="1"/>
    <col min="10" max="10" width="15.5546875" customWidth="1"/>
    <col min="11" max="11" width="14.109375" bestFit="1" customWidth="1"/>
    <col min="13" max="13" width="16.33203125" bestFit="1" customWidth="1"/>
  </cols>
  <sheetData>
    <row r="1" spans="1:14" ht="15.6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4" x14ac:dyDescent="0.3">
      <c r="A2" s="1">
        <v>1001</v>
      </c>
      <c r="B2" s="4">
        <v>45292</v>
      </c>
      <c r="C2" s="1" t="s">
        <v>8</v>
      </c>
      <c r="D2" s="4">
        <v>45294</v>
      </c>
      <c r="E2" s="1">
        <v>49.99</v>
      </c>
      <c r="F2" s="1">
        <v>2</v>
      </c>
      <c r="G2" s="1">
        <v>9.9980000000000011</v>
      </c>
      <c r="H2" s="1">
        <v>109.97800000000001</v>
      </c>
    </row>
    <row r="3" spans="1:14" x14ac:dyDescent="0.3">
      <c r="A3" s="1">
        <v>1002</v>
      </c>
      <c r="B3" s="4">
        <v>45292</v>
      </c>
      <c r="C3" s="1" t="s">
        <v>9</v>
      </c>
      <c r="D3" s="4">
        <v>45295</v>
      </c>
      <c r="E3" s="1">
        <v>29.99</v>
      </c>
      <c r="F3" s="1">
        <v>1</v>
      </c>
      <c r="G3" s="1">
        <v>2.9990000000000001</v>
      </c>
      <c r="H3" s="1">
        <v>32.988999999999997</v>
      </c>
    </row>
    <row r="4" spans="1:14" x14ac:dyDescent="0.3">
      <c r="A4" s="1">
        <v>1003</v>
      </c>
      <c r="B4" s="4">
        <v>45293</v>
      </c>
      <c r="C4" s="1" t="s">
        <v>10</v>
      </c>
      <c r="D4" s="4">
        <v>45298</v>
      </c>
      <c r="E4" s="1">
        <v>99.99</v>
      </c>
      <c r="F4" s="1">
        <v>3</v>
      </c>
      <c r="G4" s="1">
        <v>29.997</v>
      </c>
      <c r="H4" s="1">
        <v>329.96699999999998</v>
      </c>
      <c r="J4" s="5" t="s">
        <v>56</v>
      </c>
      <c r="K4" s="5"/>
      <c r="L4" s="5"/>
      <c r="M4" s="5"/>
      <c r="N4" s="5"/>
    </row>
    <row r="5" spans="1:14" x14ac:dyDescent="0.3">
      <c r="A5" s="1">
        <v>1004</v>
      </c>
      <c r="B5" s="4">
        <v>45293</v>
      </c>
      <c r="C5" s="1" t="s">
        <v>11</v>
      </c>
      <c r="D5" s="4">
        <v>45294</v>
      </c>
      <c r="E5" s="1">
        <v>19.989999999999998</v>
      </c>
      <c r="F5" s="1">
        <v>4</v>
      </c>
      <c r="G5" s="1">
        <v>7.9959999999999996</v>
      </c>
      <c r="H5" s="1">
        <v>87.955999999999989</v>
      </c>
      <c r="M5" s="11" t="s">
        <v>53</v>
      </c>
    </row>
    <row r="6" spans="1:14" x14ac:dyDescent="0.3">
      <c r="A6" s="1">
        <v>1005</v>
      </c>
      <c r="B6" s="4">
        <v>45294</v>
      </c>
      <c r="C6" s="1" t="s">
        <v>12</v>
      </c>
      <c r="D6" s="4">
        <v>45299</v>
      </c>
      <c r="E6" s="1">
        <v>149.99</v>
      </c>
      <c r="F6" s="1">
        <v>1</v>
      </c>
      <c r="G6" s="1">
        <v>14.999000000000002</v>
      </c>
      <c r="H6" s="1">
        <v>164.989</v>
      </c>
      <c r="J6" s="14" t="s">
        <v>57</v>
      </c>
      <c r="K6" s="6">
        <v>1049</v>
      </c>
      <c r="M6">
        <v>1011</v>
      </c>
    </row>
    <row r="7" spans="1:14" x14ac:dyDescent="0.3">
      <c r="A7" s="1">
        <v>1006</v>
      </c>
      <c r="B7" s="4">
        <v>45294</v>
      </c>
      <c r="C7" s="1" t="s">
        <v>13</v>
      </c>
      <c r="D7" s="4">
        <v>45297</v>
      </c>
      <c r="E7" s="1">
        <v>79.989999999999995</v>
      </c>
      <c r="F7" s="1">
        <v>2</v>
      </c>
      <c r="G7" s="1">
        <v>15.997999999999999</v>
      </c>
      <c r="H7" s="1">
        <v>175.97799999999998</v>
      </c>
      <c r="J7" s="14" t="s">
        <v>52</v>
      </c>
      <c r="K7" s="10" t="str">
        <f>LOOKUP(K6,A2:A49,C2:C49)</f>
        <v>David Rodriguez</v>
      </c>
      <c r="M7" s="10" t="str">
        <f>LOOKUP(M6,A2:A49,C2:C49)</f>
        <v>William Hernandez</v>
      </c>
    </row>
    <row r="8" spans="1:14" x14ac:dyDescent="0.3">
      <c r="A8" s="1">
        <v>1007</v>
      </c>
      <c r="B8" s="4">
        <v>45295</v>
      </c>
      <c r="C8" s="1" t="s">
        <v>14</v>
      </c>
      <c r="D8" s="4">
        <v>45297</v>
      </c>
      <c r="E8" s="1">
        <v>39.99</v>
      </c>
      <c r="F8" s="1">
        <v>3</v>
      </c>
      <c r="G8" s="1">
        <v>11.997</v>
      </c>
      <c r="H8" s="1">
        <v>131.96699999999998</v>
      </c>
    </row>
    <row r="9" spans="1:14" x14ac:dyDescent="0.3">
      <c r="A9" s="1">
        <v>1008</v>
      </c>
      <c r="B9" s="4">
        <v>45295</v>
      </c>
      <c r="C9" s="1" t="s">
        <v>15</v>
      </c>
      <c r="D9" s="4">
        <v>45300</v>
      </c>
      <c r="E9" s="1">
        <v>69.989999999999995</v>
      </c>
      <c r="F9" s="1">
        <v>2</v>
      </c>
      <c r="G9" s="1">
        <v>13.997999999999999</v>
      </c>
      <c r="H9" s="1">
        <v>153.97799999999998</v>
      </c>
    </row>
    <row r="10" spans="1:14" x14ac:dyDescent="0.3">
      <c r="A10" s="1">
        <v>1009</v>
      </c>
      <c r="B10" s="4">
        <v>45296</v>
      </c>
      <c r="C10" s="1" t="s">
        <v>16</v>
      </c>
      <c r="D10" s="4">
        <v>45297</v>
      </c>
      <c r="E10" s="1">
        <v>89.99</v>
      </c>
      <c r="F10" s="1">
        <v>1</v>
      </c>
      <c r="G10" s="1">
        <v>8.9990000000000006</v>
      </c>
      <c r="H10" s="1">
        <v>98.98899999999999</v>
      </c>
      <c r="J10" s="5" t="s">
        <v>58</v>
      </c>
      <c r="K10" s="5"/>
      <c r="L10" s="5"/>
      <c r="M10" s="5"/>
    </row>
    <row r="11" spans="1:14" x14ac:dyDescent="0.3">
      <c r="A11" s="1">
        <v>1011</v>
      </c>
      <c r="B11" s="4">
        <v>45297</v>
      </c>
      <c r="C11" s="1" t="s">
        <v>18</v>
      </c>
      <c r="D11" s="4">
        <v>45298</v>
      </c>
      <c r="E11" s="1">
        <v>29.99</v>
      </c>
      <c r="F11" s="1">
        <v>5</v>
      </c>
      <c r="G11" s="1">
        <v>14.994999999999999</v>
      </c>
      <c r="H11" s="1">
        <v>164.94499999999999</v>
      </c>
      <c r="J11" s="7" t="s">
        <v>52</v>
      </c>
      <c r="K11" t="s">
        <v>17</v>
      </c>
    </row>
    <row r="12" spans="1:14" x14ac:dyDescent="0.3">
      <c r="A12" s="1">
        <v>1012</v>
      </c>
      <c r="B12" s="4">
        <v>45297</v>
      </c>
      <c r="C12" s="1" t="s">
        <v>19</v>
      </c>
      <c r="D12" s="4">
        <v>45299</v>
      </c>
      <c r="E12" s="1">
        <v>79.989999999999995</v>
      </c>
      <c r="F12" s="1">
        <v>2</v>
      </c>
      <c r="G12" s="1">
        <v>15.997999999999999</v>
      </c>
      <c r="H12" s="1">
        <v>175.97799999999998</v>
      </c>
      <c r="J12" s="7" t="s">
        <v>5</v>
      </c>
      <c r="K12" s="10">
        <f>LOOKUP(K11,C:C,F:F)</f>
        <v>3</v>
      </c>
    </row>
    <row r="13" spans="1:14" x14ac:dyDescent="0.3">
      <c r="A13" s="1">
        <v>1013</v>
      </c>
      <c r="B13" s="4">
        <v>45298</v>
      </c>
      <c r="C13" s="1" t="s">
        <v>20</v>
      </c>
      <c r="D13" s="4">
        <v>45300</v>
      </c>
      <c r="E13" s="1">
        <v>49.99</v>
      </c>
      <c r="F13" s="1">
        <v>3</v>
      </c>
      <c r="G13" s="1">
        <v>14.997</v>
      </c>
      <c r="H13" s="1">
        <v>164.96699999999998</v>
      </c>
    </row>
    <row r="14" spans="1:14" x14ac:dyDescent="0.3">
      <c r="A14" s="1">
        <v>1014</v>
      </c>
      <c r="B14" s="4">
        <v>45298</v>
      </c>
      <c r="C14" s="1" t="s">
        <v>21</v>
      </c>
      <c r="D14" s="4">
        <v>45303</v>
      </c>
      <c r="E14" s="1">
        <v>129.99</v>
      </c>
      <c r="F14" s="1">
        <v>1</v>
      </c>
      <c r="G14" s="1">
        <v>12.999000000000002</v>
      </c>
      <c r="H14" s="1">
        <v>142.989</v>
      </c>
    </row>
    <row r="15" spans="1:14" x14ac:dyDescent="0.3">
      <c r="A15" s="1">
        <v>1015</v>
      </c>
      <c r="B15" s="4">
        <v>45299</v>
      </c>
      <c r="C15" s="1" t="s">
        <v>22</v>
      </c>
      <c r="D15" s="4">
        <v>45304</v>
      </c>
      <c r="E15" s="1">
        <v>19.989999999999998</v>
      </c>
      <c r="F15" s="1">
        <v>4</v>
      </c>
      <c r="G15" s="1">
        <v>7.9959999999999996</v>
      </c>
      <c r="H15" s="1">
        <v>87.955999999999989</v>
      </c>
    </row>
    <row r="16" spans="1:14" x14ac:dyDescent="0.3">
      <c r="A16" s="1">
        <v>1016</v>
      </c>
      <c r="B16" s="4">
        <v>45299</v>
      </c>
      <c r="C16" s="1" t="s">
        <v>23</v>
      </c>
      <c r="D16" s="4">
        <v>45303</v>
      </c>
      <c r="E16" s="1">
        <v>149.99</v>
      </c>
      <c r="F16" s="1">
        <v>1</v>
      </c>
      <c r="G16" s="1">
        <v>14.999000000000002</v>
      </c>
      <c r="H16" s="1">
        <v>164.989</v>
      </c>
    </row>
    <row r="17" spans="1:8" x14ac:dyDescent="0.3">
      <c r="A17" s="1">
        <v>1017</v>
      </c>
      <c r="B17" s="4">
        <v>45300</v>
      </c>
      <c r="C17" s="1" t="s">
        <v>24</v>
      </c>
      <c r="D17" s="4">
        <v>45305</v>
      </c>
      <c r="E17" s="1">
        <v>69.989999999999995</v>
      </c>
      <c r="F17" s="1">
        <v>2</v>
      </c>
      <c r="G17" s="1">
        <v>13.997999999999999</v>
      </c>
      <c r="H17" s="1">
        <v>153.97799999999998</v>
      </c>
    </row>
    <row r="18" spans="1:8" x14ac:dyDescent="0.3">
      <c r="A18" s="1">
        <v>1018</v>
      </c>
      <c r="B18" s="4">
        <v>45300</v>
      </c>
      <c r="C18" s="1" t="s">
        <v>25</v>
      </c>
      <c r="D18" s="4">
        <v>45303</v>
      </c>
      <c r="E18" s="1">
        <v>39.99</v>
      </c>
      <c r="F18" s="1">
        <v>3</v>
      </c>
      <c r="G18" s="1">
        <v>11.997</v>
      </c>
      <c r="H18" s="1">
        <v>131.96699999999998</v>
      </c>
    </row>
    <row r="19" spans="1:8" x14ac:dyDescent="0.3">
      <c r="A19" s="1">
        <v>1019</v>
      </c>
      <c r="B19" s="4">
        <v>45301</v>
      </c>
      <c r="C19" s="1" t="s">
        <v>26</v>
      </c>
      <c r="D19" s="4">
        <v>45302</v>
      </c>
      <c r="E19" s="1">
        <v>199.99</v>
      </c>
      <c r="F19" s="1">
        <v>1</v>
      </c>
      <c r="G19" s="1">
        <v>19.999000000000002</v>
      </c>
      <c r="H19" s="1">
        <v>219.989</v>
      </c>
    </row>
    <row r="20" spans="1:8" x14ac:dyDescent="0.3">
      <c r="A20" s="1">
        <v>1020</v>
      </c>
      <c r="B20" s="4">
        <v>45301</v>
      </c>
      <c r="C20" s="1" t="s">
        <v>27</v>
      </c>
      <c r="D20" s="4">
        <v>45305</v>
      </c>
      <c r="E20" s="1">
        <v>29.99</v>
      </c>
      <c r="F20" s="1">
        <v>5</v>
      </c>
      <c r="G20" s="1">
        <v>14.994999999999999</v>
      </c>
      <c r="H20" s="1">
        <v>164.94499999999999</v>
      </c>
    </row>
    <row r="21" spans="1:8" x14ac:dyDescent="0.3">
      <c r="A21" s="1">
        <v>1021</v>
      </c>
      <c r="B21" s="4">
        <v>45302</v>
      </c>
      <c r="C21" s="1" t="s">
        <v>28</v>
      </c>
      <c r="D21" s="4">
        <v>45305</v>
      </c>
      <c r="E21" s="1">
        <v>79.989999999999995</v>
      </c>
      <c r="F21" s="1">
        <v>2</v>
      </c>
      <c r="G21" s="1">
        <v>15.997999999999999</v>
      </c>
      <c r="H21" s="1">
        <v>175.97799999999998</v>
      </c>
    </row>
    <row r="22" spans="1:8" x14ac:dyDescent="0.3">
      <c r="A22" s="1">
        <v>1022</v>
      </c>
      <c r="B22" s="4">
        <v>45302</v>
      </c>
      <c r="C22" s="1" t="s">
        <v>29</v>
      </c>
      <c r="D22" s="4">
        <v>45306</v>
      </c>
      <c r="E22" s="1">
        <v>49.99</v>
      </c>
      <c r="F22" s="1">
        <v>3</v>
      </c>
      <c r="G22" s="1">
        <v>14.997</v>
      </c>
      <c r="H22" s="1">
        <v>164.96699999999998</v>
      </c>
    </row>
    <row r="23" spans="1:8" x14ac:dyDescent="0.3">
      <c r="A23" s="1">
        <v>1023</v>
      </c>
      <c r="B23" s="4">
        <v>45303</v>
      </c>
      <c r="C23" s="1" t="s">
        <v>30</v>
      </c>
      <c r="D23" s="4">
        <v>45308</v>
      </c>
      <c r="E23" s="1">
        <v>129.99</v>
      </c>
      <c r="F23" s="1">
        <v>1</v>
      </c>
      <c r="G23" s="1">
        <v>12.999000000000002</v>
      </c>
      <c r="H23" s="1">
        <v>142.989</v>
      </c>
    </row>
    <row r="24" spans="1:8" x14ac:dyDescent="0.3">
      <c r="A24" s="1">
        <v>1024</v>
      </c>
      <c r="B24" s="4">
        <v>45303</v>
      </c>
      <c r="C24" s="1" t="s">
        <v>31</v>
      </c>
      <c r="D24" s="4">
        <v>45308</v>
      </c>
      <c r="E24" s="1">
        <v>19.989999999999998</v>
      </c>
      <c r="F24" s="1">
        <v>4</v>
      </c>
      <c r="G24" s="1">
        <v>7.9959999999999996</v>
      </c>
      <c r="H24" s="1">
        <v>87.955999999999989</v>
      </c>
    </row>
    <row r="25" spans="1:8" x14ac:dyDescent="0.3">
      <c r="A25" s="1">
        <v>1025</v>
      </c>
      <c r="B25" s="4">
        <v>45304</v>
      </c>
      <c r="C25" s="1" t="s">
        <v>12</v>
      </c>
      <c r="D25" s="4">
        <v>45308</v>
      </c>
      <c r="E25" s="1">
        <v>149.99</v>
      </c>
      <c r="F25" s="1">
        <v>1</v>
      </c>
      <c r="G25" s="1">
        <v>14.999000000000002</v>
      </c>
      <c r="H25" s="1">
        <v>164.989</v>
      </c>
    </row>
    <row r="26" spans="1:8" x14ac:dyDescent="0.3">
      <c r="A26" s="1">
        <v>1026</v>
      </c>
      <c r="B26" s="4">
        <v>45304</v>
      </c>
      <c r="C26" s="1" t="s">
        <v>32</v>
      </c>
      <c r="D26" s="4">
        <v>45305</v>
      </c>
      <c r="E26" s="1">
        <v>69.989999999999995</v>
      </c>
      <c r="F26" s="1">
        <v>2</v>
      </c>
      <c r="G26" s="1">
        <v>13.997999999999999</v>
      </c>
      <c r="H26" s="1">
        <v>153.97799999999998</v>
      </c>
    </row>
    <row r="27" spans="1:8" x14ac:dyDescent="0.3">
      <c r="A27" s="1">
        <v>1027</v>
      </c>
      <c r="B27" s="4">
        <v>45305</v>
      </c>
      <c r="C27" s="1" t="s">
        <v>33</v>
      </c>
      <c r="D27" s="4">
        <v>45309</v>
      </c>
      <c r="E27" s="1">
        <v>39.99</v>
      </c>
      <c r="F27" s="1">
        <v>3</v>
      </c>
      <c r="G27" s="1">
        <v>11.997</v>
      </c>
      <c r="H27" s="1">
        <v>131.96699999999998</v>
      </c>
    </row>
    <row r="28" spans="1:8" x14ac:dyDescent="0.3">
      <c r="A28" s="1">
        <v>1028</v>
      </c>
      <c r="B28" s="4">
        <v>45305</v>
      </c>
      <c r="C28" s="1" t="s">
        <v>34</v>
      </c>
      <c r="D28" s="4">
        <v>45310</v>
      </c>
      <c r="E28" s="1">
        <v>199.99</v>
      </c>
      <c r="F28" s="1">
        <v>1</v>
      </c>
      <c r="G28" s="1">
        <v>19.999000000000002</v>
      </c>
      <c r="H28" s="1">
        <v>219.989</v>
      </c>
    </row>
    <row r="29" spans="1:8" x14ac:dyDescent="0.3">
      <c r="A29" s="1">
        <v>1029</v>
      </c>
      <c r="B29" s="4">
        <v>45306</v>
      </c>
      <c r="C29" s="1" t="s">
        <v>35</v>
      </c>
      <c r="D29" s="4">
        <v>45310</v>
      </c>
      <c r="E29" s="1">
        <v>29.99</v>
      </c>
      <c r="F29" s="1">
        <v>5</v>
      </c>
      <c r="G29" s="1">
        <v>14.994999999999999</v>
      </c>
      <c r="H29" s="1">
        <v>164.94499999999999</v>
      </c>
    </row>
    <row r="30" spans="1:8" x14ac:dyDescent="0.3">
      <c r="A30" s="1">
        <v>1030</v>
      </c>
      <c r="B30" s="4">
        <v>45306</v>
      </c>
      <c r="C30" s="1" t="s">
        <v>36</v>
      </c>
      <c r="D30" s="4">
        <v>45310</v>
      </c>
      <c r="E30" s="1">
        <v>79.989999999999995</v>
      </c>
      <c r="F30" s="1">
        <v>2</v>
      </c>
      <c r="G30" s="1">
        <v>15.997999999999999</v>
      </c>
      <c r="H30" s="1">
        <v>175.97799999999998</v>
      </c>
    </row>
    <row r="31" spans="1:8" x14ac:dyDescent="0.3">
      <c r="A31" s="1">
        <v>1031</v>
      </c>
      <c r="B31" s="4">
        <v>45307</v>
      </c>
      <c r="C31" s="1" t="s">
        <v>37</v>
      </c>
      <c r="D31" s="4">
        <v>45310</v>
      </c>
      <c r="E31" s="1">
        <v>49.99</v>
      </c>
      <c r="F31" s="1">
        <v>3</v>
      </c>
      <c r="G31" s="1">
        <v>14.997</v>
      </c>
      <c r="H31" s="1">
        <v>164.96699999999998</v>
      </c>
    </row>
    <row r="32" spans="1:8" x14ac:dyDescent="0.3">
      <c r="A32" s="1">
        <v>1032</v>
      </c>
      <c r="B32" s="4">
        <v>45307</v>
      </c>
      <c r="C32" s="1" t="s">
        <v>38</v>
      </c>
      <c r="D32" s="4">
        <v>45308</v>
      </c>
      <c r="E32" s="1">
        <v>129.99</v>
      </c>
      <c r="F32" s="1">
        <v>1</v>
      </c>
      <c r="G32" s="1">
        <v>12.999000000000002</v>
      </c>
      <c r="H32" s="1">
        <v>142.989</v>
      </c>
    </row>
    <row r="33" spans="1:8" x14ac:dyDescent="0.3">
      <c r="A33" s="1">
        <v>1033</v>
      </c>
      <c r="B33" s="4">
        <v>45308</v>
      </c>
      <c r="C33" s="1" t="s">
        <v>39</v>
      </c>
      <c r="D33" s="4">
        <v>45310</v>
      </c>
      <c r="E33" s="1">
        <v>19.989999999999998</v>
      </c>
      <c r="F33" s="1">
        <v>4</v>
      </c>
      <c r="G33" s="1">
        <v>7.9959999999999996</v>
      </c>
      <c r="H33" s="1">
        <v>87.955999999999989</v>
      </c>
    </row>
    <row r="34" spans="1:8" x14ac:dyDescent="0.3">
      <c r="A34" s="1">
        <v>1034</v>
      </c>
      <c r="B34" s="4">
        <v>45308</v>
      </c>
      <c r="C34" s="1" t="s">
        <v>40</v>
      </c>
      <c r="D34" s="4">
        <v>45310</v>
      </c>
      <c r="E34" s="1">
        <v>149.99</v>
      </c>
      <c r="F34" s="1">
        <v>1</v>
      </c>
      <c r="G34" s="1">
        <v>14.999000000000002</v>
      </c>
      <c r="H34" s="1">
        <v>164.989</v>
      </c>
    </row>
    <row r="35" spans="1:8" x14ac:dyDescent="0.3">
      <c r="A35" s="1">
        <v>1035</v>
      </c>
      <c r="B35" s="4">
        <v>45309</v>
      </c>
      <c r="C35" s="1" t="s">
        <v>41</v>
      </c>
      <c r="D35" s="4">
        <v>45314</v>
      </c>
      <c r="E35" s="1">
        <v>69.989999999999995</v>
      </c>
      <c r="F35" s="1">
        <v>2</v>
      </c>
      <c r="G35" s="1">
        <v>13.997999999999999</v>
      </c>
      <c r="H35" s="1">
        <v>153.97799999999998</v>
      </c>
    </row>
    <row r="36" spans="1:8" x14ac:dyDescent="0.3">
      <c r="A36" s="1">
        <v>1036</v>
      </c>
      <c r="B36" s="4">
        <v>45309</v>
      </c>
      <c r="C36" s="1" t="s">
        <v>42</v>
      </c>
      <c r="D36" s="4">
        <v>45310</v>
      </c>
      <c r="E36" s="1">
        <v>39.99</v>
      </c>
      <c r="F36" s="1">
        <v>3</v>
      </c>
      <c r="G36" s="1">
        <v>11.997</v>
      </c>
      <c r="H36" s="1">
        <v>131.96699999999998</v>
      </c>
    </row>
    <row r="37" spans="1:8" x14ac:dyDescent="0.3">
      <c r="A37" s="1">
        <v>1037</v>
      </c>
      <c r="B37" s="4">
        <v>45310</v>
      </c>
      <c r="C37" s="1" t="s">
        <v>43</v>
      </c>
      <c r="D37" s="4">
        <v>45311</v>
      </c>
      <c r="E37" s="1">
        <v>199.99</v>
      </c>
      <c r="F37" s="1">
        <v>1</v>
      </c>
      <c r="G37" s="1">
        <v>19.999000000000002</v>
      </c>
      <c r="H37" s="1">
        <v>219.989</v>
      </c>
    </row>
    <row r="38" spans="1:8" x14ac:dyDescent="0.3">
      <c r="A38" s="1">
        <v>1038</v>
      </c>
      <c r="B38" s="4">
        <v>45310</v>
      </c>
      <c r="C38" s="1" t="s">
        <v>44</v>
      </c>
      <c r="D38" s="4">
        <v>45313</v>
      </c>
      <c r="E38" s="1">
        <v>29.99</v>
      </c>
      <c r="F38" s="1">
        <v>5</v>
      </c>
      <c r="G38" s="1">
        <v>14.994999999999999</v>
      </c>
      <c r="H38" s="1">
        <v>164.94499999999999</v>
      </c>
    </row>
    <row r="39" spans="1:8" x14ac:dyDescent="0.3">
      <c r="A39" s="1">
        <v>1039</v>
      </c>
      <c r="B39" s="4">
        <v>45311</v>
      </c>
      <c r="C39" s="1" t="s">
        <v>10</v>
      </c>
      <c r="D39" s="4">
        <v>45315</v>
      </c>
      <c r="E39" s="1">
        <v>79.989999999999995</v>
      </c>
      <c r="F39" s="1">
        <v>2</v>
      </c>
      <c r="G39" s="1">
        <v>15.997999999999999</v>
      </c>
      <c r="H39" s="1">
        <v>175.97799999999998</v>
      </c>
    </row>
    <row r="40" spans="1:8" x14ac:dyDescent="0.3">
      <c r="A40" s="1">
        <v>1040</v>
      </c>
      <c r="B40" s="4">
        <v>45311</v>
      </c>
      <c r="C40" s="1" t="s">
        <v>31</v>
      </c>
      <c r="D40" s="4">
        <v>45312</v>
      </c>
      <c r="E40" s="1">
        <v>49.99</v>
      </c>
      <c r="F40" s="1">
        <v>3</v>
      </c>
      <c r="G40" s="1">
        <v>14.997</v>
      </c>
      <c r="H40" s="1">
        <v>164.96699999999998</v>
      </c>
    </row>
    <row r="41" spans="1:8" x14ac:dyDescent="0.3">
      <c r="A41" s="1">
        <v>1041</v>
      </c>
      <c r="B41" s="4">
        <v>45312</v>
      </c>
      <c r="C41" s="1" t="s">
        <v>12</v>
      </c>
      <c r="D41" s="4">
        <v>45317</v>
      </c>
      <c r="E41" s="1">
        <v>129.99</v>
      </c>
      <c r="F41" s="1">
        <v>1</v>
      </c>
      <c r="G41" s="1">
        <v>12.999000000000002</v>
      </c>
      <c r="H41" s="1">
        <v>142.989</v>
      </c>
    </row>
    <row r="42" spans="1:8" x14ac:dyDescent="0.3">
      <c r="A42" s="1">
        <v>1042</v>
      </c>
      <c r="B42" s="4">
        <v>45312</v>
      </c>
      <c r="C42" s="1" t="s">
        <v>45</v>
      </c>
      <c r="D42" s="4">
        <v>45314</v>
      </c>
      <c r="E42" s="1">
        <v>19.989999999999998</v>
      </c>
      <c r="F42" s="1">
        <v>4</v>
      </c>
      <c r="G42" s="1">
        <v>7.9959999999999996</v>
      </c>
      <c r="H42" s="1">
        <v>87.955999999999989</v>
      </c>
    </row>
    <row r="43" spans="1:8" x14ac:dyDescent="0.3">
      <c r="A43" s="1">
        <v>1043</v>
      </c>
      <c r="B43" s="4">
        <v>45313</v>
      </c>
      <c r="C43" s="1" t="s">
        <v>46</v>
      </c>
      <c r="D43" s="4">
        <v>45316</v>
      </c>
      <c r="E43" s="1">
        <v>149.99</v>
      </c>
      <c r="F43" s="1">
        <v>1</v>
      </c>
      <c r="G43" s="1">
        <v>14.999000000000002</v>
      </c>
      <c r="H43" s="1">
        <v>164.989</v>
      </c>
    </row>
    <row r="44" spans="1:8" x14ac:dyDescent="0.3">
      <c r="A44" s="1">
        <v>1044</v>
      </c>
      <c r="B44" s="4">
        <v>45313</v>
      </c>
      <c r="C44" s="1" t="s">
        <v>11</v>
      </c>
      <c r="D44" s="4">
        <v>45316</v>
      </c>
      <c r="E44" s="1">
        <v>69.989999999999995</v>
      </c>
      <c r="F44" s="1">
        <v>2</v>
      </c>
      <c r="G44" s="1">
        <v>13.997999999999999</v>
      </c>
      <c r="H44" s="1">
        <v>153.97799999999998</v>
      </c>
    </row>
    <row r="45" spans="1:8" x14ac:dyDescent="0.3">
      <c r="A45" s="1">
        <v>1045</v>
      </c>
      <c r="B45" s="4">
        <v>45314</v>
      </c>
      <c r="C45" s="1" t="s">
        <v>47</v>
      </c>
      <c r="D45" s="4">
        <v>45318</v>
      </c>
      <c r="E45" s="1">
        <v>39.99</v>
      </c>
      <c r="F45" s="1">
        <v>3</v>
      </c>
      <c r="G45" s="1">
        <v>11.997</v>
      </c>
      <c r="H45" s="1">
        <v>131.96699999999998</v>
      </c>
    </row>
    <row r="46" spans="1:8" x14ac:dyDescent="0.3">
      <c r="A46" s="1">
        <v>1046</v>
      </c>
      <c r="B46" s="4">
        <v>45314</v>
      </c>
      <c r="C46" s="1" t="s">
        <v>27</v>
      </c>
      <c r="D46" s="4">
        <v>45317</v>
      </c>
      <c r="E46" s="1">
        <v>199.99</v>
      </c>
      <c r="F46" s="1">
        <v>1</v>
      </c>
      <c r="G46" s="1">
        <v>19.999000000000002</v>
      </c>
      <c r="H46" s="1">
        <v>219.989</v>
      </c>
    </row>
    <row r="47" spans="1:8" x14ac:dyDescent="0.3">
      <c r="A47" s="1">
        <v>1047</v>
      </c>
      <c r="B47" s="4">
        <v>45315</v>
      </c>
      <c r="C47" s="1" t="s">
        <v>48</v>
      </c>
      <c r="D47" s="4">
        <v>45316</v>
      </c>
      <c r="E47" s="1">
        <v>29.99</v>
      </c>
      <c r="F47" s="1">
        <v>5</v>
      </c>
      <c r="G47" s="1">
        <v>14.994999999999999</v>
      </c>
      <c r="H47" s="1">
        <v>164.94499999999999</v>
      </c>
    </row>
    <row r="48" spans="1:8" x14ac:dyDescent="0.3">
      <c r="A48" s="1">
        <v>1048</v>
      </c>
      <c r="B48" s="4">
        <v>45315</v>
      </c>
      <c r="C48" s="1" t="s">
        <v>49</v>
      </c>
      <c r="D48" s="4">
        <v>45317</v>
      </c>
      <c r="E48" s="1">
        <v>79.989999999999995</v>
      </c>
      <c r="F48" s="1">
        <v>2</v>
      </c>
      <c r="G48" s="1">
        <v>15.997999999999999</v>
      </c>
      <c r="H48" s="1">
        <v>175.97799999999998</v>
      </c>
    </row>
    <row r="49" spans="1:8" x14ac:dyDescent="0.3">
      <c r="A49" s="1">
        <v>1049</v>
      </c>
      <c r="B49" s="4">
        <v>45316</v>
      </c>
      <c r="C49" s="1" t="s">
        <v>50</v>
      </c>
      <c r="D49" s="4">
        <v>45321</v>
      </c>
      <c r="E49" s="1">
        <v>49.99</v>
      </c>
      <c r="F49" s="1">
        <v>3</v>
      </c>
      <c r="G49" s="1">
        <v>14.997</v>
      </c>
      <c r="H49" s="1">
        <v>164.96699999999998</v>
      </c>
    </row>
  </sheetData>
  <dataValidations count="2">
    <dataValidation type="list" allowBlank="1" showInputMessage="1" showErrorMessage="1" sqref="M11" xr:uid="{99C1AB25-DD72-460E-BD28-759947CC6214}">
      <formula1>$C:$C</formula1>
    </dataValidation>
    <dataValidation type="list" allowBlank="1" showInputMessage="1" showErrorMessage="1" sqref="M6" xr:uid="{64F3A389-4B38-45B6-8BE6-8202DD26ECDD}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5072-C613-4958-8F35-BDBF20FA1FB0}">
  <sheetPr>
    <tabColor theme="5" tint="0.59999389629810485"/>
  </sheetPr>
  <dimension ref="A1:O49"/>
  <sheetViews>
    <sheetView zoomScale="99" workbookViewId="0">
      <selection activeCell="J4" sqref="J4"/>
    </sheetView>
  </sheetViews>
  <sheetFormatPr defaultRowHeight="14.4" x14ac:dyDescent="0.3"/>
  <cols>
    <col min="1" max="1" width="9.6640625" bestFit="1" customWidth="1"/>
    <col min="2" max="2" width="11.44140625" bestFit="1" customWidth="1"/>
    <col min="3" max="3" width="19.109375" bestFit="1" customWidth="1"/>
    <col min="4" max="4" width="10" bestFit="1" customWidth="1"/>
    <col min="5" max="5" width="17.44140625" bestFit="1" customWidth="1"/>
    <col min="6" max="6" width="15.33203125" bestFit="1" customWidth="1"/>
    <col min="7" max="7" width="10" bestFit="1" customWidth="1"/>
    <col min="8" max="8" width="11.5546875" bestFit="1" customWidth="1"/>
    <col min="10" max="10" width="14" customWidth="1"/>
    <col min="11" max="11" width="10.109375" bestFit="1" customWidth="1"/>
  </cols>
  <sheetData>
    <row r="1" spans="1:15" ht="15.6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5" x14ac:dyDescent="0.3">
      <c r="A2" s="1">
        <v>1001</v>
      </c>
      <c r="B2" s="4">
        <v>45292</v>
      </c>
      <c r="C2" s="1" t="s">
        <v>8</v>
      </c>
      <c r="D2" s="4">
        <v>45294</v>
      </c>
      <c r="E2" s="1">
        <v>49.99</v>
      </c>
      <c r="F2" s="1">
        <v>2</v>
      </c>
      <c r="G2" s="1">
        <v>9.9980000000000011</v>
      </c>
      <c r="H2" s="1">
        <v>109.97800000000001</v>
      </c>
    </row>
    <row r="3" spans="1:15" x14ac:dyDescent="0.3">
      <c r="A3" s="1">
        <v>1002</v>
      </c>
      <c r="B3" s="4">
        <v>45292</v>
      </c>
      <c r="C3" s="1" t="s">
        <v>9</v>
      </c>
      <c r="D3" s="4">
        <v>45295</v>
      </c>
      <c r="E3" s="1">
        <v>29.99</v>
      </c>
      <c r="F3" s="1">
        <v>1</v>
      </c>
      <c r="G3" s="1">
        <v>2.9990000000000001</v>
      </c>
      <c r="H3" s="1">
        <v>32.988999999999997</v>
      </c>
    </row>
    <row r="4" spans="1:15" x14ac:dyDescent="0.3">
      <c r="A4" s="1">
        <v>1003</v>
      </c>
      <c r="B4" s="4">
        <v>45293</v>
      </c>
      <c r="C4" s="1" t="s">
        <v>10</v>
      </c>
      <c r="D4" s="4">
        <v>45298</v>
      </c>
      <c r="E4" s="1">
        <v>99.99</v>
      </c>
      <c r="F4" s="1">
        <v>3</v>
      </c>
      <c r="G4" s="1">
        <v>29.997</v>
      </c>
      <c r="H4" s="1">
        <v>329.96699999999998</v>
      </c>
    </row>
    <row r="5" spans="1:15" x14ac:dyDescent="0.3">
      <c r="A5" s="1">
        <v>1004</v>
      </c>
      <c r="B5" s="4">
        <v>45293</v>
      </c>
      <c r="C5" s="1" t="s">
        <v>11</v>
      </c>
      <c r="D5" s="4">
        <v>45294</v>
      </c>
      <c r="E5" s="1">
        <v>19.989999999999998</v>
      </c>
      <c r="F5" s="1">
        <v>4</v>
      </c>
      <c r="G5" s="1">
        <v>7.9959999999999996</v>
      </c>
      <c r="H5" s="1">
        <v>87.955999999999989</v>
      </c>
      <c r="J5" s="5" t="s">
        <v>59</v>
      </c>
      <c r="K5" s="5"/>
      <c r="L5" s="5"/>
      <c r="M5" s="5"/>
    </row>
    <row r="6" spans="1:15" x14ac:dyDescent="0.3">
      <c r="A6" s="1">
        <v>1005</v>
      </c>
      <c r="B6" s="4">
        <v>45294</v>
      </c>
      <c r="C6" s="1" t="s">
        <v>12</v>
      </c>
      <c r="D6" s="4">
        <v>45299</v>
      </c>
      <c r="E6" s="1">
        <v>149.99</v>
      </c>
      <c r="F6" s="1">
        <v>1</v>
      </c>
      <c r="G6" s="1">
        <v>14.999000000000002</v>
      </c>
      <c r="H6" s="1">
        <v>164.989</v>
      </c>
    </row>
    <row r="7" spans="1:15" x14ac:dyDescent="0.3">
      <c r="A7" s="1">
        <v>1006</v>
      </c>
      <c r="B7" s="4">
        <v>45294</v>
      </c>
      <c r="C7" s="1" t="s">
        <v>13</v>
      </c>
      <c r="D7" s="4">
        <v>45297</v>
      </c>
      <c r="E7" s="1">
        <v>79.989999999999995</v>
      </c>
      <c r="F7" s="1">
        <v>2</v>
      </c>
      <c r="G7" s="1">
        <v>15.997999999999999</v>
      </c>
      <c r="H7" s="1">
        <v>175.97799999999998</v>
      </c>
      <c r="J7" s="14" t="s">
        <v>57</v>
      </c>
      <c r="K7" s="6">
        <v>1050</v>
      </c>
    </row>
    <row r="8" spans="1:15" x14ac:dyDescent="0.3">
      <c r="A8" s="1">
        <v>1007</v>
      </c>
      <c r="B8" s="4">
        <v>45295</v>
      </c>
      <c r="C8" s="1" t="s">
        <v>14</v>
      </c>
      <c r="D8" s="4">
        <v>45297</v>
      </c>
      <c r="E8" s="1">
        <v>39.99</v>
      </c>
      <c r="F8" s="1">
        <v>3</v>
      </c>
      <c r="G8" s="1">
        <v>11.997</v>
      </c>
      <c r="H8" s="1">
        <v>131.96699999999998</v>
      </c>
      <c r="J8" s="14" t="s">
        <v>52</v>
      </c>
      <c r="K8" s="10" t="str">
        <f>_xlfn.XLOOKUP(K7,A:A,C:C,"Not Found",0)</f>
        <v>Not Found</v>
      </c>
    </row>
    <row r="9" spans="1:15" x14ac:dyDescent="0.3">
      <c r="A9" s="1">
        <v>1008</v>
      </c>
      <c r="B9" s="4">
        <v>45295</v>
      </c>
      <c r="C9" s="1" t="s">
        <v>15</v>
      </c>
      <c r="D9" s="4">
        <v>45300</v>
      </c>
      <c r="E9" s="1">
        <v>69.989999999999995</v>
      </c>
      <c r="F9" s="1">
        <v>2</v>
      </c>
      <c r="G9" s="1">
        <v>13.997999999999999</v>
      </c>
      <c r="H9" s="1">
        <v>153.97799999999998</v>
      </c>
    </row>
    <row r="10" spans="1:15" x14ac:dyDescent="0.3">
      <c r="A10" s="1">
        <v>1009</v>
      </c>
      <c r="B10" s="4">
        <v>45296</v>
      </c>
      <c r="C10" s="1" t="s">
        <v>16</v>
      </c>
      <c r="D10" s="4">
        <v>45297</v>
      </c>
      <c r="E10" s="1">
        <v>89.99</v>
      </c>
      <c r="F10" s="1">
        <v>1</v>
      </c>
      <c r="G10" s="1">
        <v>8.9990000000000006</v>
      </c>
      <c r="H10" s="1">
        <v>98.98899999999999</v>
      </c>
    </row>
    <row r="11" spans="1:15" x14ac:dyDescent="0.3">
      <c r="A11" s="1">
        <v>1011</v>
      </c>
      <c r="B11" s="4">
        <v>45297</v>
      </c>
      <c r="C11" s="1" t="s">
        <v>18</v>
      </c>
      <c r="D11" s="4">
        <v>45298</v>
      </c>
      <c r="E11" s="1">
        <v>29.99</v>
      </c>
      <c r="F11" s="1">
        <v>5</v>
      </c>
      <c r="G11" s="1">
        <v>14.994999999999999</v>
      </c>
      <c r="H11" s="1">
        <v>164.94499999999999</v>
      </c>
      <c r="J11" s="5" t="s">
        <v>60</v>
      </c>
      <c r="K11" s="5"/>
      <c r="L11" s="5"/>
      <c r="M11" s="5"/>
      <c r="N11" s="5"/>
    </row>
    <row r="12" spans="1:15" x14ac:dyDescent="0.3">
      <c r="A12" s="1">
        <v>1012</v>
      </c>
      <c r="B12" s="4">
        <v>45297</v>
      </c>
      <c r="C12" s="1" t="s">
        <v>19</v>
      </c>
      <c r="D12" s="4">
        <v>45299</v>
      </c>
      <c r="E12" s="1">
        <v>79.989999999999995</v>
      </c>
      <c r="F12" s="1">
        <v>2</v>
      </c>
      <c r="G12" s="1">
        <v>15.997999999999999</v>
      </c>
      <c r="H12" s="1">
        <v>175.97799999999998</v>
      </c>
    </row>
    <row r="13" spans="1:15" x14ac:dyDescent="0.3">
      <c r="A13" s="1">
        <v>1013</v>
      </c>
      <c r="B13" s="4">
        <v>45298</v>
      </c>
      <c r="C13" s="1" t="s">
        <v>20</v>
      </c>
      <c r="D13" s="4">
        <v>45300</v>
      </c>
      <c r="E13" s="1">
        <v>49.99</v>
      </c>
      <c r="F13" s="1">
        <v>3</v>
      </c>
      <c r="G13" s="1">
        <v>14.997</v>
      </c>
      <c r="H13" s="1">
        <v>164.96699999999998</v>
      </c>
      <c r="J13" s="7" t="s">
        <v>61</v>
      </c>
      <c r="K13" s="6">
        <v>1001</v>
      </c>
      <c r="L13" s="6">
        <v>1004</v>
      </c>
    </row>
    <row r="14" spans="1:15" x14ac:dyDescent="0.3">
      <c r="A14" s="1">
        <v>1014</v>
      </c>
      <c r="B14" s="4">
        <v>45298</v>
      </c>
      <c r="C14" s="1" t="s">
        <v>21</v>
      </c>
      <c r="D14" s="4">
        <v>45303</v>
      </c>
      <c r="E14" s="1">
        <v>129.99</v>
      </c>
      <c r="F14" s="1">
        <v>1</v>
      </c>
      <c r="G14" s="1">
        <v>12.999000000000002</v>
      </c>
      <c r="H14" s="1">
        <v>142.989</v>
      </c>
      <c r="J14" s="7" t="s">
        <v>62</v>
      </c>
      <c r="K14" s="10">
        <f>SUM(_xlfn.XLOOKUP(K13,A:A,H:H):_xlfn.XLOOKUP(L13,A:A,H:H))</f>
        <v>560.89</v>
      </c>
    </row>
    <row r="15" spans="1:15" x14ac:dyDescent="0.3">
      <c r="A15" s="1">
        <v>1015</v>
      </c>
      <c r="B15" s="4">
        <v>45299</v>
      </c>
      <c r="C15" s="1" t="s">
        <v>22</v>
      </c>
      <c r="D15" s="4">
        <v>45304</v>
      </c>
      <c r="E15" s="1">
        <v>19.989999999999998</v>
      </c>
      <c r="F15" s="1">
        <v>4</v>
      </c>
      <c r="G15" s="1">
        <v>7.9959999999999996</v>
      </c>
      <c r="H15" s="1">
        <v>87.955999999999989</v>
      </c>
    </row>
    <row r="16" spans="1:15" x14ac:dyDescent="0.3">
      <c r="A16" s="1">
        <v>1016</v>
      </c>
      <c r="B16" s="4">
        <v>45299</v>
      </c>
      <c r="C16" s="1" t="s">
        <v>23</v>
      </c>
      <c r="D16" s="4">
        <v>45303</v>
      </c>
      <c r="E16" s="1">
        <v>149.99</v>
      </c>
      <c r="F16" s="1">
        <v>1</v>
      </c>
      <c r="G16" s="1">
        <v>14.999000000000002</v>
      </c>
      <c r="H16" s="1">
        <v>164.989</v>
      </c>
      <c r="J16" s="5" t="s">
        <v>63</v>
      </c>
      <c r="K16" s="5"/>
      <c r="L16" s="5"/>
      <c r="M16" s="5"/>
      <c r="N16" s="5"/>
      <c r="O16" s="5"/>
    </row>
    <row r="17" spans="1:13" x14ac:dyDescent="0.3">
      <c r="A17" s="1">
        <v>1017</v>
      </c>
      <c r="B17" s="4">
        <v>45300</v>
      </c>
      <c r="C17" s="1" t="s">
        <v>24</v>
      </c>
      <c r="D17" s="4">
        <v>45305</v>
      </c>
      <c r="E17" s="1">
        <v>69.989999999999995</v>
      </c>
      <c r="F17" s="1">
        <v>2</v>
      </c>
      <c r="G17" s="1">
        <v>13.997999999999999</v>
      </c>
      <c r="H17" s="1">
        <v>153.97799999999998</v>
      </c>
    </row>
    <row r="18" spans="1:13" x14ac:dyDescent="0.3">
      <c r="A18" s="1">
        <v>1018</v>
      </c>
      <c r="B18" s="4">
        <v>45300</v>
      </c>
      <c r="C18" s="1" t="s">
        <v>25</v>
      </c>
      <c r="D18" s="4">
        <v>45303</v>
      </c>
      <c r="E18" s="1">
        <v>39.99</v>
      </c>
      <c r="F18" s="1">
        <v>3</v>
      </c>
      <c r="G18" s="1">
        <v>11.997</v>
      </c>
      <c r="H18" s="1">
        <v>131.96699999999998</v>
      </c>
      <c r="J18" s="14" t="s">
        <v>52</v>
      </c>
      <c r="K18" s="14" t="s">
        <v>64</v>
      </c>
      <c r="L18" s="14" t="s">
        <v>65</v>
      </c>
    </row>
    <row r="19" spans="1:13" x14ac:dyDescent="0.3">
      <c r="A19" s="1">
        <v>1019</v>
      </c>
      <c r="B19" s="4">
        <v>45301</v>
      </c>
      <c r="C19" s="1" t="s">
        <v>26</v>
      </c>
      <c r="D19" s="4">
        <v>45302</v>
      </c>
      <c r="E19" s="1">
        <v>199.99</v>
      </c>
      <c r="F19" s="1">
        <v>1</v>
      </c>
      <c r="G19" s="1">
        <v>19.999000000000002</v>
      </c>
      <c r="H19" s="1">
        <v>219.989</v>
      </c>
      <c r="J19" t="s">
        <v>19</v>
      </c>
      <c r="K19" s="10" cm="1">
        <f t="array" ref="K19:L19">_xlfn.XLOOKUP(J19,C:C,E:F,"Not Found",0)</f>
        <v>79.989999999999995</v>
      </c>
      <c r="L19" s="10">
        <v>2</v>
      </c>
    </row>
    <row r="20" spans="1:13" x14ac:dyDescent="0.3">
      <c r="A20" s="1">
        <v>1020</v>
      </c>
      <c r="B20" s="4">
        <v>45301</v>
      </c>
      <c r="C20" s="1" t="s">
        <v>27</v>
      </c>
      <c r="D20" s="4">
        <v>45305</v>
      </c>
      <c r="E20" s="1">
        <v>29.99</v>
      </c>
      <c r="F20" s="1">
        <v>5</v>
      </c>
      <c r="G20" s="1">
        <v>14.994999999999999</v>
      </c>
      <c r="H20" s="1">
        <v>164.94499999999999</v>
      </c>
    </row>
    <row r="21" spans="1:13" x14ac:dyDescent="0.3">
      <c r="A21" s="1">
        <v>1021</v>
      </c>
      <c r="B21" s="4">
        <v>45302</v>
      </c>
      <c r="C21" s="1" t="s">
        <v>28</v>
      </c>
      <c r="D21" s="4">
        <v>45305</v>
      </c>
      <c r="E21" s="1">
        <v>79.989999999999995</v>
      </c>
      <c r="F21" s="1">
        <v>2</v>
      </c>
      <c r="G21" s="1">
        <v>15.997999999999999</v>
      </c>
      <c r="H21" s="1">
        <v>175.97799999999998</v>
      </c>
      <c r="J21" s="5" t="s">
        <v>66</v>
      </c>
      <c r="K21" s="5"/>
      <c r="L21" s="5"/>
      <c r="M21" s="5"/>
    </row>
    <row r="22" spans="1:13" x14ac:dyDescent="0.3">
      <c r="A22" s="1">
        <v>1022</v>
      </c>
      <c r="B22" s="4">
        <v>45302</v>
      </c>
      <c r="C22" s="1" t="s">
        <v>29</v>
      </c>
      <c r="D22" s="4">
        <v>45306</v>
      </c>
      <c r="E22" s="1">
        <v>49.99</v>
      </c>
      <c r="F22" s="1">
        <v>3</v>
      </c>
      <c r="G22" s="1">
        <v>14.997</v>
      </c>
      <c r="H22" s="1">
        <v>164.96699999999998</v>
      </c>
    </row>
    <row r="23" spans="1:13" x14ac:dyDescent="0.3">
      <c r="A23" s="1">
        <v>1023</v>
      </c>
      <c r="B23" s="4">
        <v>45303</v>
      </c>
      <c r="C23" s="1" t="s">
        <v>30</v>
      </c>
      <c r="D23" s="4">
        <v>45308</v>
      </c>
      <c r="E23" s="1">
        <v>129.99</v>
      </c>
      <c r="F23" s="1">
        <v>1</v>
      </c>
      <c r="G23" s="1">
        <v>12.999000000000002</v>
      </c>
      <c r="H23" s="1">
        <v>142.989</v>
      </c>
      <c r="J23" s="7" t="s">
        <v>0</v>
      </c>
      <c r="K23" s="6">
        <v>1017</v>
      </c>
    </row>
    <row r="24" spans="1:13" x14ac:dyDescent="0.3">
      <c r="A24" s="1">
        <v>1024</v>
      </c>
      <c r="B24" s="4">
        <v>45303</v>
      </c>
      <c r="C24" s="1" t="s">
        <v>31</v>
      </c>
      <c r="D24" s="4">
        <v>45308</v>
      </c>
      <c r="E24" s="1">
        <v>19.989999999999998</v>
      </c>
      <c r="F24" s="1">
        <v>4</v>
      </c>
      <c r="G24" s="1">
        <v>7.9959999999999996</v>
      </c>
      <c r="H24" s="1">
        <v>87.955999999999989</v>
      </c>
      <c r="J24" s="7" t="s">
        <v>67</v>
      </c>
      <c r="K24">
        <f>_xlfn.XLOOKUP(K23,A:A,G:G,"not found",0)</f>
        <v>13.997999999999999</v>
      </c>
    </row>
    <row r="25" spans="1:13" x14ac:dyDescent="0.3">
      <c r="A25" s="1">
        <v>1025</v>
      </c>
      <c r="B25" s="4">
        <v>45304</v>
      </c>
      <c r="C25" s="1" t="s">
        <v>12</v>
      </c>
      <c r="D25" s="4">
        <v>45308</v>
      </c>
      <c r="E25" s="1">
        <v>149.99</v>
      </c>
      <c r="F25" s="1">
        <v>1</v>
      </c>
      <c r="G25" s="1">
        <v>14.999000000000002</v>
      </c>
      <c r="H25" s="1">
        <v>164.989</v>
      </c>
    </row>
    <row r="26" spans="1:13" x14ac:dyDescent="0.3">
      <c r="A26" s="1">
        <v>1026</v>
      </c>
      <c r="B26" s="4">
        <v>45304</v>
      </c>
      <c r="C26" s="1" t="s">
        <v>32</v>
      </c>
      <c r="D26" s="4">
        <v>45305</v>
      </c>
      <c r="E26" s="1">
        <v>69.989999999999995</v>
      </c>
      <c r="F26" s="1">
        <v>2</v>
      </c>
      <c r="G26" s="1">
        <v>13.997999999999999</v>
      </c>
      <c r="H26" s="1">
        <v>153.97799999999998</v>
      </c>
    </row>
    <row r="27" spans="1:13" x14ac:dyDescent="0.3">
      <c r="A27" s="1">
        <v>1027</v>
      </c>
      <c r="B27" s="4">
        <v>45305</v>
      </c>
      <c r="C27" s="1" t="s">
        <v>33</v>
      </c>
      <c r="D27" s="4">
        <v>45309</v>
      </c>
      <c r="E27" s="1">
        <v>39.99</v>
      </c>
      <c r="F27" s="1">
        <v>3</v>
      </c>
      <c r="G27" s="1">
        <v>11.997</v>
      </c>
      <c r="H27" s="1">
        <v>131.96699999999998</v>
      </c>
    </row>
    <row r="28" spans="1:13" x14ac:dyDescent="0.3">
      <c r="A28" s="1">
        <v>1028</v>
      </c>
      <c r="B28" s="4">
        <v>45305</v>
      </c>
      <c r="C28" s="1" t="s">
        <v>34</v>
      </c>
      <c r="D28" s="4">
        <v>45310</v>
      </c>
      <c r="E28" s="1">
        <v>199.99</v>
      </c>
      <c r="F28" s="1">
        <v>1</v>
      </c>
      <c r="G28" s="1">
        <v>19.999000000000002</v>
      </c>
      <c r="H28" s="1">
        <v>219.989</v>
      </c>
    </row>
    <row r="29" spans="1:13" x14ac:dyDescent="0.3">
      <c r="A29" s="1">
        <v>1029</v>
      </c>
      <c r="B29" s="4">
        <v>45306</v>
      </c>
      <c r="C29" s="1" t="s">
        <v>35</v>
      </c>
      <c r="D29" s="4">
        <v>45310</v>
      </c>
      <c r="E29" s="1">
        <v>29.99</v>
      </c>
      <c r="F29" s="1">
        <v>5</v>
      </c>
      <c r="G29" s="1">
        <v>14.994999999999999</v>
      </c>
      <c r="H29" s="1">
        <v>164.94499999999999</v>
      </c>
    </row>
    <row r="30" spans="1:13" x14ac:dyDescent="0.3">
      <c r="A30" s="1">
        <v>1030</v>
      </c>
      <c r="B30" s="4">
        <v>45306</v>
      </c>
      <c r="C30" s="1" t="s">
        <v>36</v>
      </c>
      <c r="D30" s="4">
        <v>45310</v>
      </c>
      <c r="E30" s="1">
        <v>79.989999999999995</v>
      </c>
      <c r="F30" s="1">
        <v>2</v>
      </c>
      <c r="G30" s="1">
        <v>15.997999999999999</v>
      </c>
      <c r="H30" s="1">
        <v>175.97799999999998</v>
      </c>
    </row>
    <row r="31" spans="1:13" x14ac:dyDescent="0.3">
      <c r="A31" s="1">
        <v>1031</v>
      </c>
      <c r="B31" s="4">
        <v>45307</v>
      </c>
      <c r="C31" s="1" t="s">
        <v>37</v>
      </c>
      <c r="D31" s="4">
        <v>45310</v>
      </c>
      <c r="E31" s="1">
        <v>49.99</v>
      </c>
      <c r="F31" s="1">
        <v>3</v>
      </c>
      <c r="G31" s="1">
        <v>14.997</v>
      </c>
      <c r="H31" s="1">
        <v>164.96699999999998</v>
      </c>
    </row>
    <row r="32" spans="1:13" x14ac:dyDescent="0.3">
      <c r="A32" s="1">
        <v>1032</v>
      </c>
      <c r="B32" s="4">
        <v>45307</v>
      </c>
      <c r="C32" s="1" t="s">
        <v>38</v>
      </c>
      <c r="D32" s="4">
        <v>45308</v>
      </c>
      <c r="E32" s="1">
        <v>129.99</v>
      </c>
      <c r="F32" s="1">
        <v>1</v>
      </c>
      <c r="G32" s="1">
        <v>12.999000000000002</v>
      </c>
      <c r="H32" s="1">
        <v>142.989</v>
      </c>
    </row>
    <row r="33" spans="1:8" x14ac:dyDescent="0.3">
      <c r="A33" s="1">
        <v>1033</v>
      </c>
      <c r="B33" s="4">
        <v>45308</v>
      </c>
      <c r="C33" s="1" t="s">
        <v>39</v>
      </c>
      <c r="D33" s="4">
        <v>45310</v>
      </c>
      <c r="E33" s="1">
        <v>19.989999999999998</v>
      </c>
      <c r="F33" s="1">
        <v>4</v>
      </c>
      <c r="G33" s="1">
        <v>7.9959999999999996</v>
      </c>
      <c r="H33" s="1">
        <v>87.955999999999989</v>
      </c>
    </row>
    <row r="34" spans="1:8" x14ac:dyDescent="0.3">
      <c r="A34" s="1">
        <v>1034</v>
      </c>
      <c r="B34" s="4">
        <v>45308</v>
      </c>
      <c r="C34" s="1" t="s">
        <v>40</v>
      </c>
      <c r="D34" s="4">
        <v>45310</v>
      </c>
      <c r="E34" s="1">
        <v>149.99</v>
      </c>
      <c r="F34" s="1">
        <v>1</v>
      </c>
      <c r="G34" s="1">
        <v>14.999000000000002</v>
      </c>
      <c r="H34" s="1">
        <v>164.989</v>
      </c>
    </row>
    <row r="35" spans="1:8" x14ac:dyDescent="0.3">
      <c r="A35" s="1">
        <v>1035</v>
      </c>
      <c r="B35" s="4">
        <v>45309</v>
      </c>
      <c r="C35" s="1" t="s">
        <v>41</v>
      </c>
      <c r="D35" s="4">
        <v>45314</v>
      </c>
      <c r="E35" s="1">
        <v>69.989999999999995</v>
      </c>
      <c r="F35" s="1">
        <v>2</v>
      </c>
      <c r="G35" s="1">
        <v>13.997999999999999</v>
      </c>
      <c r="H35" s="1">
        <v>153.97799999999998</v>
      </c>
    </row>
    <row r="36" spans="1:8" x14ac:dyDescent="0.3">
      <c r="A36" s="1">
        <v>1036</v>
      </c>
      <c r="B36" s="4">
        <v>45309</v>
      </c>
      <c r="C36" s="1" t="s">
        <v>42</v>
      </c>
      <c r="D36" s="4">
        <v>45310</v>
      </c>
      <c r="E36" s="1">
        <v>39.99</v>
      </c>
      <c r="F36" s="1">
        <v>3</v>
      </c>
      <c r="G36" s="1">
        <v>11.997</v>
      </c>
      <c r="H36" s="1">
        <v>131.96699999999998</v>
      </c>
    </row>
    <row r="37" spans="1:8" x14ac:dyDescent="0.3">
      <c r="A37" s="1">
        <v>1037</v>
      </c>
      <c r="B37" s="4">
        <v>45310</v>
      </c>
      <c r="C37" s="1" t="s">
        <v>43</v>
      </c>
      <c r="D37" s="4">
        <v>45311</v>
      </c>
      <c r="E37" s="1">
        <v>199.99</v>
      </c>
      <c r="F37" s="1">
        <v>1</v>
      </c>
      <c r="G37" s="1">
        <v>19.999000000000002</v>
      </c>
      <c r="H37" s="1">
        <v>219.989</v>
      </c>
    </row>
    <row r="38" spans="1:8" x14ac:dyDescent="0.3">
      <c r="A38" s="1">
        <v>1038</v>
      </c>
      <c r="B38" s="4">
        <v>45310</v>
      </c>
      <c r="C38" s="1" t="s">
        <v>44</v>
      </c>
      <c r="D38" s="4">
        <v>45313</v>
      </c>
      <c r="E38" s="1">
        <v>29.99</v>
      </c>
      <c r="F38" s="1">
        <v>5</v>
      </c>
      <c r="G38" s="1">
        <v>14.994999999999999</v>
      </c>
      <c r="H38" s="1">
        <v>164.94499999999999</v>
      </c>
    </row>
    <row r="39" spans="1:8" x14ac:dyDescent="0.3">
      <c r="A39" s="1">
        <v>1039</v>
      </c>
      <c r="B39" s="4">
        <v>45311</v>
      </c>
      <c r="C39" s="1" t="s">
        <v>10</v>
      </c>
      <c r="D39" s="4">
        <v>45315</v>
      </c>
      <c r="E39" s="1">
        <v>79.989999999999995</v>
      </c>
      <c r="F39" s="1">
        <v>2</v>
      </c>
      <c r="G39" s="1">
        <v>15.997999999999999</v>
      </c>
      <c r="H39" s="1">
        <v>175.97799999999998</v>
      </c>
    </row>
    <row r="40" spans="1:8" x14ac:dyDescent="0.3">
      <c r="A40" s="1">
        <v>1040</v>
      </c>
      <c r="B40" s="4">
        <v>45311</v>
      </c>
      <c r="C40" s="1" t="s">
        <v>31</v>
      </c>
      <c r="D40" s="4">
        <v>45312</v>
      </c>
      <c r="E40" s="1">
        <v>49.99</v>
      </c>
      <c r="F40" s="1">
        <v>3</v>
      </c>
      <c r="G40" s="1">
        <v>14.997</v>
      </c>
      <c r="H40" s="1">
        <v>164.96699999999998</v>
      </c>
    </row>
    <row r="41" spans="1:8" x14ac:dyDescent="0.3">
      <c r="A41" s="1">
        <v>1041</v>
      </c>
      <c r="B41" s="4">
        <v>45312</v>
      </c>
      <c r="C41" s="1" t="s">
        <v>12</v>
      </c>
      <c r="D41" s="4">
        <v>45317</v>
      </c>
      <c r="E41" s="1">
        <v>129.99</v>
      </c>
      <c r="F41" s="1">
        <v>1</v>
      </c>
      <c r="G41" s="1">
        <v>12.999000000000002</v>
      </c>
      <c r="H41" s="1">
        <v>142.989</v>
      </c>
    </row>
    <row r="42" spans="1:8" x14ac:dyDescent="0.3">
      <c r="A42" s="1">
        <v>1042</v>
      </c>
      <c r="B42" s="4">
        <v>45312</v>
      </c>
      <c r="C42" s="1" t="s">
        <v>45</v>
      </c>
      <c r="D42" s="4">
        <v>45314</v>
      </c>
      <c r="E42" s="1">
        <v>19.989999999999998</v>
      </c>
      <c r="F42" s="1">
        <v>4</v>
      </c>
      <c r="G42" s="1">
        <v>7.9959999999999996</v>
      </c>
      <c r="H42" s="1">
        <v>87.955999999999989</v>
      </c>
    </row>
    <row r="43" spans="1:8" x14ac:dyDescent="0.3">
      <c r="A43" s="1">
        <v>1043</v>
      </c>
      <c r="B43" s="4">
        <v>45313</v>
      </c>
      <c r="C43" s="1" t="s">
        <v>46</v>
      </c>
      <c r="D43" s="4">
        <v>45316</v>
      </c>
      <c r="E43" s="1">
        <v>149.99</v>
      </c>
      <c r="F43" s="1">
        <v>1</v>
      </c>
      <c r="G43" s="1">
        <v>14.999000000000002</v>
      </c>
      <c r="H43" s="1">
        <v>164.989</v>
      </c>
    </row>
    <row r="44" spans="1:8" x14ac:dyDescent="0.3">
      <c r="A44" s="1">
        <v>1044</v>
      </c>
      <c r="B44" s="4">
        <v>45313</v>
      </c>
      <c r="C44" s="1" t="s">
        <v>11</v>
      </c>
      <c r="D44" s="4">
        <v>45316</v>
      </c>
      <c r="E44" s="1">
        <v>69.989999999999995</v>
      </c>
      <c r="F44" s="1">
        <v>2</v>
      </c>
      <c r="G44" s="1">
        <v>13.997999999999999</v>
      </c>
      <c r="H44" s="1">
        <v>153.97799999999998</v>
      </c>
    </row>
    <row r="45" spans="1:8" x14ac:dyDescent="0.3">
      <c r="A45" s="1">
        <v>1045</v>
      </c>
      <c r="B45" s="4">
        <v>45314</v>
      </c>
      <c r="C45" s="1" t="s">
        <v>47</v>
      </c>
      <c r="D45" s="4">
        <v>45318</v>
      </c>
      <c r="E45" s="1">
        <v>39.99</v>
      </c>
      <c r="F45" s="1">
        <v>3</v>
      </c>
      <c r="G45" s="1">
        <v>11.997</v>
      </c>
      <c r="H45" s="1">
        <v>131.96699999999998</v>
      </c>
    </row>
    <row r="46" spans="1:8" x14ac:dyDescent="0.3">
      <c r="A46" s="1">
        <v>1046</v>
      </c>
      <c r="B46" s="4">
        <v>45314</v>
      </c>
      <c r="C46" s="1" t="s">
        <v>27</v>
      </c>
      <c r="D46" s="4">
        <v>45317</v>
      </c>
      <c r="E46" s="1">
        <v>199.99</v>
      </c>
      <c r="F46" s="1">
        <v>1</v>
      </c>
      <c r="G46" s="1">
        <v>19.999000000000002</v>
      </c>
      <c r="H46" s="1">
        <v>219.989</v>
      </c>
    </row>
    <row r="47" spans="1:8" x14ac:dyDescent="0.3">
      <c r="A47" s="1">
        <v>1047</v>
      </c>
      <c r="B47" s="4">
        <v>45315</v>
      </c>
      <c r="C47" s="1" t="s">
        <v>48</v>
      </c>
      <c r="D47" s="4">
        <v>45316</v>
      </c>
      <c r="E47" s="1">
        <v>29.99</v>
      </c>
      <c r="F47" s="1">
        <v>5</v>
      </c>
      <c r="G47" s="1">
        <v>14.994999999999999</v>
      </c>
      <c r="H47" s="1">
        <v>164.94499999999999</v>
      </c>
    </row>
    <row r="48" spans="1:8" x14ac:dyDescent="0.3">
      <c r="A48" s="1">
        <v>1048</v>
      </c>
      <c r="B48" s="4">
        <v>45315</v>
      </c>
      <c r="C48" s="1" t="s">
        <v>49</v>
      </c>
      <c r="D48" s="4">
        <v>45317</v>
      </c>
      <c r="E48" s="1">
        <v>79.989999999999995</v>
      </c>
      <c r="F48" s="1">
        <v>2</v>
      </c>
      <c r="G48" s="1">
        <v>15.997999999999999</v>
      </c>
      <c r="H48" s="1">
        <v>175.97799999999998</v>
      </c>
    </row>
    <row r="49" spans="1:8" x14ac:dyDescent="0.3">
      <c r="A49" s="1">
        <v>1049</v>
      </c>
      <c r="B49" s="4">
        <v>45316</v>
      </c>
      <c r="C49" s="1" t="s">
        <v>50</v>
      </c>
      <c r="D49" s="4">
        <v>45321</v>
      </c>
      <c r="E49" s="1">
        <v>49.99</v>
      </c>
      <c r="F49" s="1">
        <v>3</v>
      </c>
      <c r="G49" s="1">
        <v>14.997</v>
      </c>
      <c r="H49" s="1">
        <v>164.96699999999998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VLOOKUP</vt:lpstr>
      <vt:lpstr>HLOOKUP</vt:lpstr>
      <vt:lpstr>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Kashyap</dc:creator>
  <cp:lastModifiedBy>Priya Kashyap</cp:lastModifiedBy>
  <dcterms:created xsi:type="dcterms:W3CDTF">2024-12-22T07:58:31Z</dcterms:created>
  <dcterms:modified xsi:type="dcterms:W3CDTF">2024-12-24T09:08:23Z</dcterms:modified>
</cp:coreProperties>
</file>