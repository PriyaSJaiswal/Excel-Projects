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1.xml" ContentType="application/vnd.openxmlformats-officedocument.spreadsheetml.pivotTable+xml"/>
  <Override PartName="/xl/drawings/drawing5.xml" ContentType="application/vnd.openxmlformats-officedocument.drawing+xml"/>
  <Override PartName="/xl/timelines/timeline1.xml" ContentType="application/vnd.ms-excel.timelin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d.docs.live.net/9c465aa32f8382d9/Desktop/"/>
    </mc:Choice>
  </mc:AlternateContent>
  <xr:revisionPtr revIDLastSave="163" documentId="8_{96955158-7563-407F-B6EE-0B22645FDF80}" xr6:coauthVersionLast="47" xr6:coauthVersionMax="47" xr10:uidLastSave="{CAB1A0A6-9DDF-43DF-9FFA-0DCBC98AE18C}"/>
  <bookViews>
    <workbookView xWindow="-108" yWindow="-108" windowWidth="23256" windowHeight="12456" firstSheet="15" activeTab="20" xr2:uid="{1828B1EE-BD45-4A14-A263-23AD06DAAF2D}"/>
  </bookViews>
  <sheets>
    <sheet name="Countrywise_Sales_report" sheetId="2" r:id="rId1"/>
    <sheet name="Column_chart" sheetId="3" r:id="rId2"/>
    <sheet name="Pie_Chart" sheetId="4" r:id="rId3"/>
    <sheet name="Slicer" sheetId="5" r:id="rId4"/>
    <sheet name="January" sheetId="19" r:id="rId5"/>
    <sheet name="February" sheetId="18" r:id="rId6"/>
    <sheet name="March" sheetId="17" r:id="rId7"/>
    <sheet name="April" sheetId="16" r:id="rId8"/>
    <sheet name="May" sheetId="15" r:id="rId9"/>
    <sheet name="June" sheetId="14" r:id="rId10"/>
    <sheet name="July" sheetId="13" r:id="rId11"/>
    <sheet name="August" sheetId="12" r:id="rId12"/>
    <sheet name="September" sheetId="11" r:id="rId13"/>
    <sheet name="October" sheetId="10" r:id="rId14"/>
    <sheet name="November" sheetId="9" r:id="rId15"/>
    <sheet name="December" sheetId="8" r:id="rId16"/>
    <sheet name="(blank)" sheetId="7" r:id="rId17"/>
    <sheet name="Data 1" sheetId="6" r:id="rId18"/>
    <sheet name="Report Connection" sheetId="20" r:id="rId19"/>
    <sheet name="Insert Timeline" sheetId="21" r:id="rId20"/>
    <sheet name="Data" sheetId="1" r:id="rId21"/>
  </sheets>
  <definedNames>
    <definedName name="NativeTimeline_Date_of_Release">#N/A</definedName>
    <definedName name="Slicer_Brand">#N/A</definedName>
    <definedName name="Slicer_Country_of_Origin">#N/A</definedName>
    <definedName name="Slicer_Month">#N/A</definedName>
    <definedName name="Slicer_Month1">#N/A</definedName>
  </definedNames>
  <calcPr calcId="191029"/>
  <pivotCaches>
    <pivotCache cacheId="0" r:id="rId22"/>
    <pivotCache cacheId="1"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2" i="1"/>
</calcChain>
</file>

<file path=xl/sharedStrings.xml><?xml version="1.0" encoding="utf-8"?>
<sst xmlns="http://schemas.openxmlformats.org/spreadsheetml/2006/main" count="413" uniqueCount="94">
  <si>
    <t>Brand</t>
  </si>
  <si>
    <t>Device</t>
  </si>
  <si>
    <t>Model</t>
  </si>
  <si>
    <t>Country of Origin</t>
  </si>
  <si>
    <t>Date of Release</t>
  </si>
  <si>
    <t>Price (USD)</t>
  </si>
  <si>
    <t>Apple</t>
  </si>
  <si>
    <t>iPhone</t>
  </si>
  <si>
    <t>13 Pro Max</t>
  </si>
  <si>
    <t>United States</t>
  </si>
  <si>
    <t>Samsung</t>
  </si>
  <si>
    <t>Galaxy</t>
  </si>
  <si>
    <t>S21 Ultra</t>
  </si>
  <si>
    <t>South Korea</t>
  </si>
  <si>
    <t>Google</t>
  </si>
  <si>
    <t>Pixel</t>
  </si>
  <si>
    <t>6 Pro</t>
  </si>
  <si>
    <t>Sony</t>
  </si>
  <si>
    <t>PlayStation</t>
  </si>
  <si>
    <t>Japan</t>
  </si>
  <si>
    <t>Microsoft</t>
  </si>
  <si>
    <t>Surface</t>
  </si>
  <si>
    <t>Laptop 4</t>
  </si>
  <si>
    <t>Dell</t>
  </si>
  <si>
    <t>XPS</t>
  </si>
  <si>
    <t>HP</t>
  </si>
  <si>
    <t>Spectre</t>
  </si>
  <si>
    <t>x360</t>
  </si>
  <si>
    <t>Lenovo</t>
  </si>
  <si>
    <t>ThinkPad</t>
  </si>
  <si>
    <t>X1 Carbon</t>
  </si>
  <si>
    <t>China</t>
  </si>
  <si>
    <t>Asus</t>
  </si>
  <si>
    <t>ROG</t>
  </si>
  <si>
    <t>Zephyrus G14</t>
  </si>
  <si>
    <t>Taiwan</t>
  </si>
  <si>
    <t>Acer</t>
  </si>
  <si>
    <t>Predator</t>
  </si>
  <si>
    <t>Helios 300</t>
  </si>
  <si>
    <t>MacBook</t>
  </si>
  <si>
    <t>Pro 14-inch</t>
  </si>
  <si>
    <t>Odyssey</t>
  </si>
  <si>
    <t>G9</t>
  </si>
  <si>
    <t>Pixelbook</t>
  </si>
  <si>
    <t>Go</t>
  </si>
  <si>
    <t>Xperia</t>
  </si>
  <si>
    <t>1 III</t>
  </si>
  <si>
    <t>Xbox</t>
  </si>
  <si>
    <t>Series X</t>
  </si>
  <si>
    <t>Alienware</t>
  </si>
  <si>
    <t>m15 R5</t>
  </si>
  <si>
    <t>Pavilion</t>
  </si>
  <si>
    <t>IdeaPad</t>
  </si>
  <si>
    <t>5 Pro</t>
  </si>
  <si>
    <t>ZenBook</t>
  </si>
  <si>
    <t>Swift</t>
  </si>
  <si>
    <t>iPad</t>
  </si>
  <si>
    <t>Pro 12.9-inch</t>
  </si>
  <si>
    <t>Tab S7+</t>
  </si>
  <si>
    <t>Nest</t>
  </si>
  <si>
    <t>Hub Max</t>
  </si>
  <si>
    <t>WH</t>
  </si>
  <si>
    <t>1000XM4</t>
  </si>
  <si>
    <t>Malaysia</t>
  </si>
  <si>
    <t>Pro 8</t>
  </si>
  <si>
    <t>UltraSharp</t>
  </si>
  <si>
    <t>U2720Q</t>
  </si>
  <si>
    <t>Elite</t>
  </si>
  <si>
    <t>Dragonfly</t>
  </si>
  <si>
    <t>Legion</t>
  </si>
  <si>
    <t>7i</t>
  </si>
  <si>
    <t>TUF</t>
  </si>
  <si>
    <t>Gaming A15</t>
  </si>
  <si>
    <t>Aspire</t>
  </si>
  <si>
    <t>Row Labels</t>
  </si>
  <si>
    <t>Grand Total</t>
  </si>
  <si>
    <t>Column Labels</t>
  </si>
  <si>
    <t>Sum of Price (USD)</t>
  </si>
  <si>
    <t>Month</t>
  </si>
  <si>
    <t>(Multiple Items)</t>
  </si>
  <si>
    <t>(blank)</t>
  </si>
  <si>
    <t>(All)</t>
  </si>
  <si>
    <t>December</t>
  </si>
  <si>
    <t>November</t>
  </si>
  <si>
    <t>October</t>
  </si>
  <si>
    <t>September</t>
  </si>
  <si>
    <t>August</t>
  </si>
  <si>
    <t>July</t>
  </si>
  <si>
    <t>June</t>
  </si>
  <si>
    <t>May</t>
  </si>
  <si>
    <t>April</t>
  </si>
  <si>
    <t>March</t>
  </si>
  <si>
    <t>February</t>
  </si>
  <si>
    <t>January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</si>
</sst>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FFFFFF"/>
      <name val="Calibri"/>
      <family val="2"/>
    </font>
    <font>
      <sz val="11"/>
      <color rgb="FF000000"/>
      <name val="Calibri"/>
      <family val="2"/>
    </font>
    <font>
      <b/>
      <sz val="12"/>
      <color theme="1"/>
      <name val="Calibri"/>
      <family val="2"/>
    </font>
  </fonts>
  <fills count="4">
    <fill>
      <patternFill patternType="none"/>
    </fill>
    <fill>
      <patternFill patternType="gray125"/>
    </fill>
    <fill>
      <patternFill patternType="solid">
        <fgColor rgb="FF27276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3" fillId="3" borderId="1" xfId="0" applyFont="1" applyFill="1" applyBorder="1" applyAlignment="1">
      <alignment horizontal="center" vertic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microsoft.com/office/2007/relationships/slicerCache" Target="slicerCaches/slicerCache4.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Pivot Charts.xlsx]Column_chart!PivotTable2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Column_chart!$B$3:$B$4</c:f>
              <c:strCache>
                <c:ptCount val="1"/>
                <c:pt idx="0">
                  <c:v>Acer</c:v>
                </c:pt>
              </c:strCache>
            </c:strRef>
          </c:tx>
          <c:spPr>
            <a:solidFill>
              <a:schemeClr val="accent1"/>
            </a:solidFill>
            <a:ln>
              <a:noFill/>
            </a:ln>
            <a:effectLst/>
          </c:spPr>
          <c:invertIfNegative val="0"/>
          <c:cat>
            <c:strRef>
              <c:f>Column_chart!$A$5:$A$11</c:f>
              <c:strCache>
                <c:ptCount val="6"/>
                <c:pt idx="0">
                  <c:v>China</c:v>
                </c:pt>
                <c:pt idx="1">
                  <c:v>Japan</c:v>
                </c:pt>
                <c:pt idx="2">
                  <c:v>Malaysia</c:v>
                </c:pt>
                <c:pt idx="3">
                  <c:v>South Korea</c:v>
                </c:pt>
                <c:pt idx="4">
                  <c:v>Taiwan</c:v>
                </c:pt>
                <c:pt idx="5">
                  <c:v>United States</c:v>
                </c:pt>
              </c:strCache>
            </c:strRef>
          </c:cat>
          <c:val>
            <c:numRef>
              <c:f>Column_chart!$B$5:$B$11</c:f>
              <c:numCache>
                <c:formatCode>General</c:formatCode>
                <c:ptCount val="6"/>
                <c:pt idx="4">
                  <c:v>2597</c:v>
                </c:pt>
              </c:numCache>
            </c:numRef>
          </c:val>
          <c:extLst>
            <c:ext xmlns:c16="http://schemas.microsoft.com/office/drawing/2014/chart" uri="{C3380CC4-5D6E-409C-BE32-E72D297353CC}">
              <c16:uniqueId val="{00000000-562A-4E2D-8A47-798FD374A351}"/>
            </c:ext>
          </c:extLst>
        </c:ser>
        <c:ser>
          <c:idx val="1"/>
          <c:order val="1"/>
          <c:tx>
            <c:strRef>
              <c:f>Column_chart!$C$3:$C$4</c:f>
              <c:strCache>
                <c:ptCount val="1"/>
                <c:pt idx="0">
                  <c:v>Apple</c:v>
                </c:pt>
              </c:strCache>
            </c:strRef>
          </c:tx>
          <c:spPr>
            <a:solidFill>
              <a:schemeClr val="accent2"/>
            </a:solidFill>
            <a:ln>
              <a:noFill/>
            </a:ln>
            <a:effectLst/>
          </c:spPr>
          <c:invertIfNegative val="0"/>
          <c:cat>
            <c:strRef>
              <c:f>Column_chart!$A$5:$A$11</c:f>
              <c:strCache>
                <c:ptCount val="6"/>
                <c:pt idx="0">
                  <c:v>China</c:v>
                </c:pt>
                <c:pt idx="1">
                  <c:v>Japan</c:v>
                </c:pt>
                <c:pt idx="2">
                  <c:v>Malaysia</c:v>
                </c:pt>
                <c:pt idx="3">
                  <c:v>South Korea</c:v>
                </c:pt>
                <c:pt idx="4">
                  <c:v>Taiwan</c:v>
                </c:pt>
                <c:pt idx="5">
                  <c:v>United States</c:v>
                </c:pt>
              </c:strCache>
            </c:strRef>
          </c:cat>
          <c:val>
            <c:numRef>
              <c:f>Column_chart!$C$5:$C$11</c:f>
              <c:numCache>
                <c:formatCode>General</c:formatCode>
                <c:ptCount val="6"/>
                <c:pt idx="5">
                  <c:v>4197</c:v>
                </c:pt>
              </c:numCache>
            </c:numRef>
          </c:val>
          <c:extLst>
            <c:ext xmlns:c16="http://schemas.microsoft.com/office/drawing/2014/chart" uri="{C3380CC4-5D6E-409C-BE32-E72D297353CC}">
              <c16:uniqueId val="{00000001-562A-4E2D-8A47-798FD374A351}"/>
            </c:ext>
          </c:extLst>
        </c:ser>
        <c:ser>
          <c:idx val="2"/>
          <c:order val="2"/>
          <c:tx>
            <c:strRef>
              <c:f>Column_chart!$D$3:$D$4</c:f>
              <c:strCache>
                <c:ptCount val="1"/>
                <c:pt idx="0">
                  <c:v>Asus</c:v>
                </c:pt>
              </c:strCache>
            </c:strRef>
          </c:tx>
          <c:spPr>
            <a:solidFill>
              <a:schemeClr val="accent3"/>
            </a:solidFill>
            <a:ln>
              <a:noFill/>
            </a:ln>
            <a:effectLst/>
          </c:spPr>
          <c:invertIfNegative val="0"/>
          <c:cat>
            <c:strRef>
              <c:f>Column_chart!$A$5:$A$11</c:f>
              <c:strCache>
                <c:ptCount val="6"/>
                <c:pt idx="0">
                  <c:v>China</c:v>
                </c:pt>
                <c:pt idx="1">
                  <c:v>Japan</c:v>
                </c:pt>
                <c:pt idx="2">
                  <c:v>Malaysia</c:v>
                </c:pt>
                <c:pt idx="3">
                  <c:v>South Korea</c:v>
                </c:pt>
                <c:pt idx="4">
                  <c:v>Taiwan</c:v>
                </c:pt>
                <c:pt idx="5">
                  <c:v>United States</c:v>
                </c:pt>
              </c:strCache>
            </c:strRef>
          </c:cat>
          <c:val>
            <c:numRef>
              <c:f>Column_chart!$D$5:$D$11</c:f>
              <c:numCache>
                <c:formatCode>General</c:formatCode>
                <c:ptCount val="6"/>
                <c:pt idx="4">
                  <c:v>3497</c:v>
                </c:pt>
              </c:numCache>
            </c:numRef>
          </c:val>
          <c:extLst>
            <c:ext xmlns:c16="http://schemas.microsoft.com/office/drawing/2014/chart" uri="{C3380CC4-5D6E-409C-BE32-E72D297353CC}">
              <c16:uniqueId val="{00000002-562A-4E2D-8A47-798FD374A351}"/>
            </c:ext>
          </c:extLst>
        </c:ser>
        <c:ser>
          <c:idx val="3"/>
          <c:order val="3"/>
          <c:tx>
            <c:strRef>
              <c:f>Column_chart!$E$3:$E$4</c:f>
              <c:strCache>
                <c:ptCount val="1"/>
                <c:pt idx="0">
                  <c:v>Dell</c:v>
                </c:pt>
              </c:strCache>
            </c:strRef>
          </c:tx>
          <c:spPr>
            <a:solidFill>
              <a:schemeClr val="accent4"/>
            </a:solidFill>
            <a:ln>
              <a:noFill/>
            </a:ln>
            <a:effectLst/>
          </c:spPr>
          <c:invertIfNegative val="0"/>
          <c:cat>
            <c:strRef>
              <c:f>Column_chart!$A$5:$A$11</c:f>
              <c:strCache>
                <c:ptCount val="6"/>
                <c:pt idx="0">
                  <c:v>China</c:v>
                </c:pt>
                <c:pt idx="1">
                  <c:v>Japan</c:v>
                </c:pt>
                <c:pt idx="2">
                  <c:v>Malaysia</c:v>
                </c:pt>
                <c:pt idx="3">
                  <c:v>South Korea</c:v>
                </c:pt>
                <c:pt idx="4">
                  <c:v>Taiwan</c:v>
                </c:pt>
                <c:pt idx="5">
                  <c:v>United States</c:v>
                </c:pt>
              </c:strCache>
            </c:strRef>
          </c:cat>
          <c:val>
            <c:numRef>
              <c:f>Column_chart!$E$5:$E$11</c:f>
              <c:numCache>
                <c:formatCode>General</c:formatCode>
                <c:ptCount val="6"/>
                <c:pt idx="0">
                  <c:v>499</c:v>
                </c:pt>
                <c:pt idx="5">
                  <c:v>2998</c:v>
                </c:pt>
              </c:numCache>
            </c:numRef>
          </c:val>
          <c:extLst>
            <c:ext xmlns:c16="http://schemas.microsoft.com/office/drawing/2014/chart" uri="{C3380CC4-5D6E-409C-BE32-E72D297353CC}">
              <c16:uniqueId val="{00000003-562A-4E2D-8A47-798FD374A351}"/>
            </c:ext>
          </c:extLst>
        </c:ser>
        <c:ser>
          <c:idx val="4"/>
          <c:order val="4"/>
          <c:tx>
            <c:strRef>
              <c:f>Column_chart!$F$3:$F$4</c:f>
              <c:strCache>
                <c:ptCount val="1"/>
                <c:pt idx="0">
                  <c:v>Google</c:v>
                </c:pt>
              </c:strCache>
            </c:strRef>
          </c:tx>
          <c:spPr>
            <a:solidFill>
              <a:schemeClr val="accent5"/>
            </a:solidFill>
            <a:ln>
              <a:noFill/>
            </a:ln>
            <a:effectLst/>
          </c:spPr>
          <c:invertIfNegative val="0"/>
          <c:cat>
            <c:strRef>
              <c:f>Column_chart!$A$5:$A$11</c:f>
              <c:strCache>
                <c:ptCount val="6"/>
                <c:pt idx="0">
                  <c:v>China</c:v>
                </c:pt>
                <c:pt idx="1">
                  <c:v>Japan</c:v>
                </c:pt>
                <c:pt idx="2">
                  <c:v>Malaysia</c:v>
                </c:pt>
                <c:pt idx="3">
                  <c:v>South Korea</c:v>
                </c:pt>
                <c:pt idx="4">
                  <c:v>Taiwan</c:v>
                </c:pt>
                <c:pt idx="5">
                  <c:v>United States</c:v>
                </c:pt>
              </c:strCache>
            </c:strRef>
          </c:cat>
          <c:val>
            <c:numRef>
              <c:f>Column_chart!$F$5:$F$11</c:f>
              <c:numCache>
                <c:formatCode>General</c:formatCode>
                <c:ptCount val="6"/>
                <c:pt idx="5">
                  <c:v>1777</c:v>
                </c:pt>
              </c:numCache>
            </c:numRef>
          </c:val>
          <c:extLst>
            <c:ext xmlns:c16="http://schemas.microsoft.com/office/drawing/2014/chart" uri="{C3380CC4-5D6E-409C-BE32-E72D297353CC}">
              <c16:uniqueId val="{00000004-562A-4E2D-8A47-798FD374A351}"/>
            </c:ext>
          </c:extLst>
        </c:ser>
        <c:ser>
          <c:idx val="5"/>
          <c:order val="5"/>
          <c:tx>
            <c:strRef>
              <c:f>Column_chart!$G$3:$G$4</c:f>
              <c:strCache>
                <c:ptCount val="1"/>
                <c:pt idx="0">
                  <c:v>HP</c:v>
                </c:pt>
              </c:strCache>
            </c:strRef>
          </c:tx>
          <c:spPr>
            <a:solidFill>
              <a:schemeClr val="accent6"/>
            </a:solidFill>
            <a:ln>
              <a:noFill/>
            </a:ln>
            <a:effectLst/>
          </c:spPr>
          <c:invertIfNegative val="0"/>
          <c:cat>
            <c:strRef>
              <c:f>Column_chart!$A$5:$A$11</c:f>
              <c:strCache>
                <c:ptCount val="6"/>
                <c:pt idx="0">
                  <c:v>China</c:v>
                </c:pt>
                <c:pt idx="1">
                  <c:v>Japan</c:v>
                </c:pt>
                <c:pt idx="2">
                  <c:v>Malaysia</c:v>
                </c:pt>
                <c:pt idx="3">
                  <c:v>South Korea</c:v>
                </c:pt>
                <c:pt idx="4">
                  <c:v>Taiwan</c:v>
                </c:pt>
                <c:pt idx="5">
                  <c:v>United States</c:v>
                </c:pt>
              </c:strCache>
            </c:strRef>
          </c:cat>
          <c:val>
            <c:numRef>
              <c:f>Column_chart!$G$5:$G$11</c:f>
              <c:numCache>
                <c:formatCode>General</c:formatCode>
                <c:ptCount val="6"/>
                <c:pt idx="5">
                  <c:v>3897</c:v>
                </c:pt>
              </c:numCache>
            </c:numRef>
          </c:val>
          <c:extLst>
            <c:ext xmlns:c16="http://schemas.microsoft.com/office/drawing/2014/chart" uri="{C3380CC4-5D6E-409C-BE32-E72D297353CC}">
              <c16:uniqueId val="{00000005-562A-4E2D-8A47-798FD374A351}"/>
            </c:ext>
          </c:extLst>
        </c:ser>
        <c:ser>
          <c:idx val="6"/>
          <c:order val="6"/>
          <c:tx>
            <c:strRef>
              <c:f>Column_chart!$H$3:$H$4</c:f>
              <c:strCache>
                <c:ptCount val="1"/>
                <c:pt idx="0">
                  <c:v>Lenovo</c:v>
                </c:pt>
              </c:strCache>
            </c:strRef>
          </c:tx>
          <c:spPr>
            <a:solidFill>
              <a:schemeClr val="accent1">
                <a:lumMod val="60000"/>
              </a:schemeClr>
            </a:solidFill>
            <a:ln>
              <a:noFill/>
            </a:ln>
            <a:effectLst/>
          </c:spPr>
          <c:invertIfNegative val="0"/>
          <c:cat>
            <c:strRef>
              <c:f>Column_chart!$A$5:$A$11</c:f>
              <c:strCache>
                <c:ptCount val="6"/>
                <c:pt idx="0">
                  <c:v>China</c:v>
                </c:pt>
                <c:pt idx="1">
                  <c:v>Japan</c:v>
                </c:pt>
                <c:pt idx="2">
                  <c:v>Malaysia</c:v>
                </c:pt>
                <c:pt idx="3">
                  <c:v>South Korea</c:v>
                </c:pt>
                <c:pt idx="4">
                  <c:v>Taiwan</c:v>
                </c:pt>
                <c:pt idx="5">
                  <c:v>United States</c:v>
                </c:pt>
              </c:strCache>
            </c:strRef>
          </c:cat>
          <c:val>
            <c:numRef>
              <c:f>Column_chart!$H$5:$H$11</c:f>
              <c:numCache>
                <c:formatCode>General</c:formatCode>
                <c:ptCount val="6"/>
                <c:pt idx="0">
                  <c:v>3927</c:v>
                </c:pt>
              </c:numCache>
            </c:numRef>
          </c:val>
          <c:extLst>
            <c:ext xmlns:c16="http://schemas.microsoft.com/office/drawing/2014/chart" uri="{C3380CC4-5D6E-409C-BE32-E72D297353CC}">
              <c16:uniqueId val="{00000006-562A-4E2D-8A47-798FD374A351}"/>
            </c:ext>
          </c:extLst>
        </c:ser>
        <c:ser>
          <c:idx val="7"/>
          <c:order val="7"/>
          <c:tx>
            <c:strRef>
              <c:f>Column_chart!$I$3:$I$4</c:f>
              <c:strCache>
                <c:ptCount val="1"/>
                <c:pt idx="0">
                  <c:v>Microsoft</c:v>
                </c:pt>
              </c:strCache>
            </c:strRef>
          </c:tx>
          <c:spPr>
            <a:solidFill>
              <a:schemeClr val="accent2">
                <a:lumMod val="60000"/>
              </a:schemeClr>
            </a:solidFill>
            <a:ln>
              <a:noFill/>
            </a:ln>
            <a:effectLst/>
          </c:spPr>
          <c:invertIfNegative val="0"/>
          <c:cat>
            <c:strRef>
              <c:f>Column_chart!$A$5:$A$11</c:f>
              <c:strCache>
                <c:ptCount val="6"/>
                <c:pt idx="0">
                  <c:v>China</c:v>
                </c:pt>
                <c:pt idx="1">
                  <c:v>Japan</c:v>
                </c:pt>
                <c:pt idx="2">
                  <c:v>Malaysia</c:v>
                </c:pt>
                <c:pt idx="3">
                  <c:v>South Korea</c:v>
                </c:pt>
                <c:pt idx="4">
                  <c:v>Taiwan</c:v>
                </c:pt>
                <c:pt idx="5">
                  <c:v>United States</c:v>
                </c:pt>
              </c:strCache>
            </c:strRef>
          </c:cat>
          <c:val>
            <c:numRef>
              <c:f>Column_chart!$I$5:$I$11</c:f>
              <c:numCache>
                <c:formatCode>General</c:formatCode>
                <c:ptCount val="6"/>
                <c:pt idx="5">
                  <c:v>2397</c:v>
                </c:pt>
              </c:numCache>
            </c:numRef>
          </c:val>
          <c:extLst>
            <c:ext xmlns:c16="http://schemas.microsoft.com/office/drawing/2014/chart" uri="{C3380CC4-5D6E-409C-BE32-E72D297353CC}">
              <c16:uniqueId val="{00000007-562A-4E2D-8A47-798FD374A351}"/>
            </c:ext>
          </c:extLst>
        </c:ser>
        <c:ser>
          <c:idx val="8"/>
          <c:order val="8"/>
          <c:tx>
            <c:strRef>
              <c:f>Column_chart!$J$3:$J$4</c:f>
              <c:strCache>
                <c:ptCount val="1"/>
                <c:pt idx="0">
                  <c:v>Samsung</c:v>
                </c:pt>
              </c:strCache>
            </c:strRef>
          </c:tx>
          <c:spPr>
            <a:solidFill>
              <a:schemeClr val="accent3">
                <a:lumMod val="60000"/>
              </a:schemeClr>
            </a:solidFill>
            <a:ln>
              <a:noFill/>
            </a:ln>
            <a:effectLst/>
          </c:spPr>
          <c:invertIfNegative val="0"/>
          <c:cat>
            <c:strRef>
              <c:f>Column_chart!$A$5:$A$11</c:f>
              <c:strCache>
                <c:ptCount val="6"/>
                <c:pt idx="0">
                  <c:v>China</c:v>
                </c:pt>
                <c:pt idx="1">
                  <c:v>Japan</c:v>
                </c:pt>
                <c:pt idx="2">
                  <c:v>Malaysia</c:v>
                </c:pt>
                <c:pt idx="3">
                  <c:v>South Korea</c:v>
                </c:pt>
                <c:pt idx="4">
                  <c:v>Taiwan</c:v>
                </c:pt>
                <c:pt idx="5">
                  <c:v>United States</c:v>
                </c:pt>
              </c:strCache>
            </c:strRef>
          </c:cat>
          <c:val>
            <c:numRef>
              <c:f>Column_chart!$J$5:$J$11</c:f>
              <c:numCache>
                <c:formatCode>General</c:formatCode>
                <c:ptCount val="6"/>
                <c:pt idx="3">
                  <c:v>3747</c:v>
                </c:pt>
              </c:numCache>
            </c:numRef>
          </c:val>
          <c:extLst>
            <c:ext xmlns:c16="http://schemas.microsoft.com/office/drawing/2014/chart" uri="{C3380CC4-5D6E-409C-BE32-E72D297353CC}">
              <c16:uniqueId val="{00000008-562A-4E2D-8A47-798FD374A351}"/>
            </c:ext>
          </c:extLst>
        </c:ser>
        <c:ser>
          <c:idx val="9"/>
          <c:order val="9"/>
          <c:tx>
            <c:strRef>
              <c:f>Column_chart!$K$3:$K$4</c:f>
              <c:strCache>
                <c:ptCount val="1"/>
                <c:pt idx="0">
                  <c:v>Sony</c:v>
                </c:pt>
              </c:strCache>
            </c:strRef>
          </c:tx>
          <c:spPr>
            <a:solidFill>
              <a:schemeClr val="accent4">
                <a:lumMod val="60000"/>
              </a:schemeClr>
            </a:solidFill>
            <a:ln>
              <a:noFill/>
            </a:ln>
            <a:effectLst/>
          </c:spPr>
          <c:invertIfNegative val="0"/>
          <c:cat>
            <c:strRef>
              <c:f>Column_chart!$A$5:$A$11</c:f>
              <c:strCache>
                <c:ptCount val="6"/>
                <c:pt idx="0">
                  <c:v>China</c:v>
                </c:pt>
                <c:pt idx="1">
                  <c:v>Japan</c:v>
                </c:pt>
                <c:pt idx="2">
                  <c:v>Malaysia</c:v>
                </c:pt>
                <c:pt idx="3">
                  <c:v>South Korea</c:v>
                </c:pt>
                <c:pt idx="4">
                  <c:v>Taiwan</c:v>
                </c:pt>
                <c:pt idx="5">
                  <c:v>United States</c:v>
                </c:pt>
              </c:strCache>
            </c:strRef>
          </c:cat>
          <c:val>
            <c:numRef>
              <c:f>Column_chart!$K$5:$K$11</c:f>
              <c:numCache>
                <c:formatCode>General</c:formatCode>
                <c:ptCount val="6"/>
                <c:pt idx="1">
                  <c:v>1798</c:v>
                </c:pt>
                <c:pt idx="2">
                  <c:v>349</c:v>
                </c:pt>
              </c:numCache>
            </c:numRef>
          </c:val>
          <c:extLst>
            <c:ext xmlns:c16="http://schemas.microsoft.com/office/drawing/2014/chart" uri="{C3380CC4-5D6E-409C-BE32-E72D297353CC}">
              <c16:uniqueId val="{00000009-562A-4E2D-8A47-798FD374A351}"/>
            </c:ext>
          </c:extLst>
        </c:ser>
        <c:dLbls>
          <c:showLegendKey val="0"/>
          <c:showVal val="0"/>
          <c:showCatName val="0"/>
          <c:showSerName val="0"/>
          <c:showPercent val="0"/>
          <c:showBubbleSize val="0"/>
        </c:dLbls>
        <c:gapWidth val="219"/>
        <c:overlap val="-27"/>
        <c:axId val="278436768"/>
        <c:axId val="278438688"/>
      </c:barChart>
      <c:catAx>
        <c:axId val="27843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438688"/>
        <c:crosses val="autoZero"/>
        <c:auto val="1"/>
        <c:lblAlgn val="ctr"/>
        <c:lblOffset val="100"/>
        <c:noMultiLvlLbl val="0"/>
      </c:catAx>
      <c:valAx>
        <c:axId val="27843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43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Pivot Charts.xlsx]Pie_Chart!PivotTable3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Pie_Chart!$B$3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013-44E3-A7F8-CA72A5C4EDA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013-44E3-A7F8-CA72A5C4EDA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013-44E3-A7F8-CA72A5C4EDA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013-44E3-A7F8-CA72A5C4EDA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013-44E3-A7F8-CA72A5C4EDA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013-44E3-A7F8-CA72A5C4EDA5}"/>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013-44E3-A7F8-CA72A5C4EDA5}"/>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013-44E3-A7F8-CA72A5C4EDA5}"/>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2013-44E3-A7F8-CA72A5C4EDA5}"/>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2013-44E3-A7F8-CA72A5C4EDA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Pie_Chart!$A$4:$A$14</c:f>
              <c:strCache>
                <c:ptCount val="10"/>
                <c:pt idx="0">
                  <c:v>Acer</c:v>
                </c:pt>
                <c:pt idx="1">
                  <c:v>Apple</c:v>
                </c:pt>
                <c:pt idx="2">
                  <c:v>Asus</c:v>
                </c:pt>
                <c:pt idx="3">
                  <c:v>Dell</c:v>
                </c:pt>
                <c:pt idx="4">
                  <c:v>Google</c:v>
                </c:pt>
                <c:pt idx="5">
                  <c:v>HP</c:v>
                </c:pt>
                <c:pt idx="6">
                  <c:v>Lenovo</c:v>
                </c:pt>
                <c:pt idx="7">
                  <c:v>Microsoft</c:v>
                </c:pt>
                <c:pt idx="8">
                  <c:v>Samsung</c:v>
                </c:pt>
                <c:pt idx="9">
                  <c:v>Sony</c:v>
                </c:pt>
              </c:strCache>
            </c:strRef>
          </c:cat>
          <c:val>
            <c:numRef>
              <c:f>Pie_Chart!$B$4:$B$14</c:f>
              <c:numCache>
                <c:formatCode>General</c:formatCode>
                <c:ptCount val="10"/>
                <c:pt idx="0">
                  <c:v>2597</c:v>
                </c:pt>
                <c:pt idx="1">
                  <c:v>4197</c:v>
                </c:pt>
                <c:pt idx="2">
                  <c:v>3497</c:v>
                </c:pt>
                <c:pt idx="3">
                  <c:v>3497</c:v>
                </c:pt>
                <c:pt idx="4">
                  <c:v>1777</c:v>
                </c:pt>
                <c:pt idx="5">
                  <c:v>3897</c:v>
                </c:pt>
                <c:pt idx="6">
                  <c:v>3927</c:v>
                </c:pt>
                <c:pt idx="7">
                  <c:v>2397</c:v>
                </c:pt>
                <c:pt idx="8">
                  <c:v>3747</c:v>
                </c:pt>
                <c:pt idx="9">
                  <c:v>2147</c:v>
                </c:pt>
              </c:numCache>
            </c:numRef>
          </c:val>
          <c:extLst>
            <c:ext xmlns:c16="http://schemas.microsoft.com/office/drawing/2014/chart" uri="{C3380CC4-5D6E-409C-BE32-E72D297353CC}">
              <c16:uniqueId val="{00000000-FE74-48AC-9173-E6D36817BAF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Pivot Charts.xlsx]Report Connection!PivotTable15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Connection'!$B$3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 Connection'!$A$4:$A$15</c:f>
              <c:strCache>
                <c:ptCount val="11"/>
                <c:pt idx="0">
                  <c:v>Acer</c:v>
                </c:pt>
                <c:pt idx="1">
                  <c:v>Apple</c:v>
                </c:pt>
                <c:pt idx="2">
                  <c:v>Asus</c:v>
                </c:pt>
                <c:pt idx="3">
                  <c:v>Dell</c:v>
                </c:pt>
                <c:pt idx="4">
                  <c:v>Google</c:v>
                </c:pt>
                <c:pt idx="5">
                  <c:v>HP</c:v>
                </c:pt>
                <c:pt idx="6">
                  <c:v>Lenovo</c:v>
                </c:pt>
                <c:pt idx="7">
                  <c:v>Microsoft</c:v>
                </c:pt>
                <c:pt idx="8">
                  <c:v>Samsung</c:v>
                </c:pt>
                <c:pt idx="9">
                  <c:v>Sony</c:v>
                </c:pt>
                <c:pt idx="10">
                  <c:v>(blank)</c:v>
                </c:pt>
              </c:strCache>
            </c:strRef>
          </c:cat>
          <c:val>
            <c:numRef>
              <c:f>'Report Connection'!$B$4:$B$15</c:f>
              <c:numCache>
                <c:formatCode>General</c:formatCode>
                <c:ptCount val="11"/>
                <c:pt idx="0">
                  <c:v>2597</c:v>
                </c:pt>
                <c:pt idx="1">
                  <c:v>4197</c:v>
                </c:pt>
                <c:pt idx="2">
                  <c:v>3497</c:v>
                </c:pt>
                <c:pt idx="3">
                  <c:v>3497</c:v>
                </c:pt>
                <c:pt idx="4">
                  <c:v>1777</c:v>
                </c:pt>
                <c:pt idx="5">
                  <c:v>3897</c:v>
                </c:pt>
                <c:pt idx="6">
                  <c:v>3927</c:v>
                </c:pt>
                <c:pt idx="7">
                  <c:v>2397</c:v>
                </c:pt>
                <c:pt idx="8">
                  <c:v>3747</c:v>
                </c:pt>
                <c:pt idx="9">
                  <c:v>2147</c:v>
                </c:pt>
              </c:numCache>
            </c:numRef>
          </c:val>
          <c:extLst>
            <c:ext xmlns:c16="http://schemas.microsoft.com/office/drawing/2014/chart" uri="{C3380CC4-5D6E-409C-BE32-E72D297353CC}">
              <c16:uniqueId val="{00000000-5EFE-4974-B79A-BC4AF0C21B88}"/>
            </c:ext>
          </c:extLst>
        </c:ser>
        <c:dLbls>
          <c:showLegendKey val="0"/>
          <c:showVal val="0"/>
          <c:showCatName val="0"/>
          <c:showSerName val="0"/>
          <c:showPercent val="0"/>
          <c:showBubbleSize val="0"/>
        </c:dLbls>
        <c:gapWidth val="100"/>
        <c:overlap val="-24"/>
        <c:axId val="1450284719"/>
        <c:axId val="1450287599"/>
      </c:barChart>
      <c:catAx>
        <c:axId val="14502847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0287599"/>
        <c:crosses val="autoZero"/>
        <c:auto val="1"/>
        <c:lblAlgn val="ctr"/>
        <c:lblOffset val="100"/>
        <c:noMultiLvlLbl val="0"/>
      </c:catAx>
      <c:valAx>
        <c:axId val="14502875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028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Pivot Charts.xlsx]Report Connection!PivotTable16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'Report Connection'!$B$22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70D-4ADD-BCE2-BFADF0F978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70D-4ADD-BCE2-BFADF0F9781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70D-4ADD-BCE2-BFADF0F9781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70D-4ADD-BCE2-BFADF0F9781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70D-4ADD-BCE2-BFADF0F9781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70D-4ADD-BCE2-BFADF0F9781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70D-4ADD-BCE2-BFADF0F9781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70D-4ADD-BCE2-BFADF0F9781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70D-4ADD-BCE2-BFADF0F9781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70D-4ADD-BCE2-BFADF0F97816}"/>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70D-4ADD-BCE2-BFADF0F97816}"/>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70D-4ADD-BCE2-BFADF0F97816}"/>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70D-4ADD-BCE2-BFADF0F97816}"/>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70D-4ADD-BCE2-BFADF0F97816}"/>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70D-4ADD-BCE2-BFADF0F97816}"/>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70D-4ADD-BCE2-BFADF0F97816}"/>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70D-4ADD-BCE2-BFADF0F97816}"/>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70D-4ADD-BCE2-BFADF0F97816}"/>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70D-4ADD-BCE2-BFADF0F97816}"/>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70D-4ADD-BCE2-BFADF0F97816}"/>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170D-4ADD-BCE2-BFADF0F97816}"/>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170D-4ADD-BCE2-BFADF0F97816}"/>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170D-4ADD-BCE2-BFADF0F97816}"/>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170D-4ADD-BCE2-BFADF0F97816}"/>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170D-4ADD-BCE2-BFADF0F97816}"/>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170D-4ADD-BCE2-BFADF0F97816}"/>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170D-4ADD-BCE2-BFADF0F97816}"/>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70D-4ADD-BCE2-BFADF0F97816}"/>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170D-4ADD-BCE2-BFADF0F97816}"/>
              </c:ext>
            </c:extLst>
          </c:dPt>
          <c:cat>
            <c:strRef>
              <c:f>'Report Connection'!$A$23:$A$52</c:f>
              <c:strCache>
                <c:ptCount val="29"/>
                <c:pt idx="0">
                  <c:v>3</c:v>
                </c:pt>
                <c:pt idx="1">
                  <c:v>5</c:v>
                </c:pt>
                <c:pt idx="2">
                  <c:v>13</c:v>
                </c:pt>
                <c:pt idx="3">
                  <c:v>14</c:v>
                </c:pt>
                <c:pt idx="4">
                  <c:v>1 III</c:v>
                </c:pt>
                <c:pt idx="5">
                  <c:v>1000XM4</c:v>
                </c:pt>
                <c:pt idx="6">
                  <c:v>13 Pro Max</c:v>
                </c:pt>
                <c:pt idx="7">
                  <c:v>5 Pro</c:v>
                </c:pt>
                <c:pt idx="8">
                  <c:v>6 Pro</c:v>
                </c:pt>
                <c:pt idx="9">
                  <c:v>7i</c:v>
                </c:pt>
                <c:pt idx="10">
                  <c:v>Dragonfly</c:v>
                </c:pt>
                <c:pt idx="11">
                  <c:v>G9</c:v>
                </c:pt>
                <c:pt idx="12">
                  <c:v>Gaming A15</c:v>
                </c:pt>
                <c:pt idx="13">
                  <c:v>Go</c:v>
                </c:pt>
                <c:pt idx="14">
                  <c:v>Helios 300</c:v>
                </c:pt>
                <c:pt idx="15">
                  <c:v>Hub Max</c:v>
                </c:pt>
                <c:pt idx="16">
                  <c:v>Laptop 4</c:v>
                </c:pt>
                <c:pt idx="17">
                  <c:v>m15 R5</c:v>
                </c:pt>
                <c:pt idx="18">
                  <c:v>Pro 12.9-inch</c:v>
                </c:pt>
                <c:pt idx="19">
                  <c:v>Pro 14-inch</c:v>
                </c:pt>
                <c:pt idx="20">
                  <c:v>Pro 8</c:v>
                </c:pt>
                <c:pt idx="21">
                  <c:v>S21 Ultra</c:v>
                </c:pt>
                <c:pt idx="22">
                  <c:v>Series X</c:v>
                </c:pt>
                <c:pt idx="23">
                  <c:v>Tab S7+</c:v>
                </c:pt>
                <c:pt idx="24">
                  <c:v>U2720Q</c:v>
                </c:pt>
                <c:pt idx="25">
                  <c:v>X1 Carbon</c:v>
                </c:pt>
                <c:pt idx="26">
                  <c:v>x360</c:v>
                </c:pt>
                <c:pt idx="27">
                  <c:v>Zephyrus G14</c:v>
                </c:pt>
                <c:pt idx="28">
                  <c:v>(blank)</c:v>
                </c:pt>
              </c:strCache>
            </c:strRef>
          </c:cat>
          <c:val>
            <c:numRef>
              <c:f>'Report Connection'!$B$23:$B$52</c:f>
              <c:numCache>
                <c:formatCode>General</c:formatCode>
                <c:ptCount val="29"/>
                <c:pt idx="0">
                  <c:v>699</c:v>
                </c:pt>
                <c:pt idx="1">
                  <c:v>1098</c:v>
                </c:pt>
                <c:pt idx="2">
                  <c:v>999</c:v>
                </c:pt>
                <c:pt idx="3">
                  <c:v>799</c:v>
                </c:pt>
                <c:pt idx="4">
                  <c:v>1299</c:v>
                </c:pt>
                <c:pt idx="5">
                  <c:v>349</c:v>
                </c:pt>
                <c:pt idx="6">
                  <c:v>1099</c:v>
                </c:pt>
                <c:pt idx="7">
                  <c:v>999</c:v>
                </c:pt>
                <c:pt idx="8">
                  <c:v>899</c:v>
                </c:pt>
                <c:pt idx="9">
                  <c:v>1499</c:v>
                </c:pt>
                <c:pt idx="10">
                  <c:v>1799</c:v>
                </c:pt>
                <c:pt idx="11">
                  <c:v>1699</c:v>
                </c:pt>
                <c:pt idx="12">
                  <c:v>1199</c:v>
                </c:pt>
                <c:pt idx="13">
                  <c:v>649</c:v>
                </c:pt>
                <c:pt idx="14">
                  <c:v>1299</c:v>
                </c:pt>
                <c:pt idx="15">
                  <c:v>229</c:v>
                </c:pt>
                <c:pt idx="16">
                  <c:v>999</c:v>
                </c:pt>
                <c:pt idx="17">
                  <c:v>1999</c:v>
                </c:pt>
                <c:pt idx="18">
                  <c:v>1099</c:v>
                </c:pt>
                <c:pt idx="19">
                  <c:v>1999</c:v>
                </c:pt>
                <c:pt idx="20">
                  <c:v>899</c:v>
                </c:pt>
                <c:pt idx="21">
                  <c:v>1199</c:v>
                </c:pt>
                <c:pt idx="22">
                  <c:v>499</c:v>
                </c:pt>
                <c:pt idx="23">
                  <c:v>849</c:v>
                </c:pt>
                <c:pt idx="24">
                  <c:v>499</c:v>
                </c:pt>
                <c:pt idx="25">
                  <c:v>1429</c:v>
                </c:pt>
                <c:pt idx="26">
                  <c:v>2098</c:v>
                </c:pt>
                <c:pt idx="27">
                  <c:v>1499</c:v>
                </c:pt>
              </c:numCache>
            </c:numRef>
          </c:val>
          <c:extLst>
            <c:ext xmlns:c16="http://schemas.microsoft.com/office/drawing/2014/chart" uri="{C3380CC4-5D6E-409C-BE32-E72D297353CC}">
              <c16:uniqueId val="{00000000-7C80-40B3-BA0F-7376342EA4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373380</xdr:colOff>
      <xdr:row>11</xdr:row>
      <xdr:rowOff>121920</xdr:rowOff>
    </xdr:from>
    <xdr:to>
      <xdr:col>16</xdr:col>
      <xdr:colOff>411480</xdr:colOff>
      <xdr:row>26</xdr:row>
      <xdr:rowOff>121920</xdr:rowOff>
    </xdr:to>
    <xdr:graphicFrame macro="">
      <xdr:nvGraphicFramePr>
        <xdr:cNvPr id="2" name="Chart 1">
          <a:extLst>
            <a:ext uri="{FF2B5EF4-FFF2-40B4-BE49-F238E27FC236}">
              <a16:creationId xmlns:a16="http://schemas.microsoft.com/office/drawing/2014/main" id="{F28E4658-36CB-32DF-FE7C-F4215383B2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6</xdr:row>
      <xdr:rowOff>45720</xdr:rowOff>
    </xdr:from>
    <xdr:to>
      <xdr:col>11</xdr:col>
      <xdr:colOff>190500</xdr:colOff>
      <xdr:row>21</xdr:row>
      <xdr:rowOff>45720</xdr:rowOff>
    </xdr:to>
    <xdr:graphicFrame macro="">
      <xdr:nvGraphicFramePr>
        <xdr:cNvPr id="2" name="Chart 1">
          <a:extLst>
            <a:ext uri="{FF2B5EF4-FFF2-40B4-BE49-F238E27FC236}">
              <a16:creationId xmlns:a16="http://schemas.microsoft.com/office/drawing/2014/main" id="{02FF388F-ACDA-1250-6294-884045D97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114300</xdr:colOff>
      <xdr:row>12</xdr:row>
      <xdr:rowOff>53340</xdr:rowOff>
    </xdr:from>
    <xdr:to>
      <xdr:col>14</xdr:col>
      <xdr:colOff>114300</xdr:colOff>
      <xdr:row>25</xdr:row>
      <xdr:rowOff>142875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4965BC75-0E46-F753-F0E1-8BE8FEE1E7E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324600" y="22479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76200</xdr:colOff>
      <xdr:row>1</xdr:row>
      <xdr:rowOff>68580</xdr:rowOff>
    </xdr:from>
    <xdr:to>
      <xdr:col>17</xdr:col>
      <xdr:colOff>76200</xdr:colOff>
      <xdr:row>14</xdr:row>
      <xdr:rowOff>158115</xdr:rowOff>
    </xdr:to>
    <mc:AlternateContent xmlns:mc="http://schemas.openxmlformats.org/markup-compatibility/2006" xmlns:a14="http://schemas.microsoft.com/office/drawing/2010/main">
      <mc:Choice Requires="a14">
        <xdr:graphicFrame macro="">
          <xdr:nvGraphicFramePr>
            <xdr:cNvPr id="3" name="Country of Origin">
              <a:extLst>
                <a:ext uri="{FF2B5EF4-FFF2-40B4-BE49-F238E27FC236}">
                  <a16:creationId xmlns:a16="http://schemas.microsoft.com/office/drawing/2014/main" id="{43E6085D-70DE-ADE1-CC3C-85D0A99C08DE}"/>
                </a:ext>
              </a:extLst>
            </xdr:cNvPr>
            <xdr:cNvGraphicFramePr/>
          </xdr:nvGraphicFramePr>
          <xdr:xfrm>
            <a:off x="0" y="0"/>
            <a:ext cx="0" cy="0"/>
          </xdr:xfrm>
          <a:graphic>
            <a:graphicData uri="http://schemas.microsoft.com/office/drawing/2010/slicer">
              <sle:slicer xmlns:sle="http://schemas.microsoft.com/office/drawing/2010/slicer" name="Country of Origin"/>
            </a:graphicData>
          </a:graphic>
        </xdr:graphicFrame>
      </mc:Choice>
      <mc:Fallback xmlns="">
        <xdr:sp macro="" textlink="">
          <xdr:nvSpPr>
            <xdr:cNvPr id="0" name=""/>
            <xdr:cNvSpPr>
              <a:spLocks noTextEdit="1"/>
            </xdr:cNvSpPr>
          </xdr:nvSpPr>
          <xdr:spPr>
            <a:xfrm>
              <a:off x="8115300" y="251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213360</xdr:colOff>
      <xdr:row>3</xdr:row>
      <xdr:rowOff>15240</xdr:rowOff>
    </xdr:from>
    <xdr:to>
      <xdr:col>9</xdr:col>
      <xdr:colOff>182880</xdr:colOff>
      <xdr:row>16</xdr:row>
      <xdr:rowOff>83820</xdr:rowOff>
    </xdr:to>
    <xdr:graphicFrame macro="">
      <xdr:nvGraphicFramePr>
        <xdr:cNvPr id="2" name="Chart 1">
          <a:extLst>
            <a:ext uri="{FF2B5EF4-FFF2-40B4-BE49-F238E27FC236}">
              <a16:creationId xmlns:a16="http://schemas.microsoft.com/office/drawing/2014/main" id="{B26A9502-CB94-7C73-2167-012EB2608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266700</xdr:colOff>
      <xdr:row>19</xdr:row>
      <xdr:rowOff>160020</xdr:rowOff>
    </xdr:from>
    <xdr:to>
      <xdr:col>11</xdr:col>
      <xdr:colOff>0</xdr:colOff>
      <xdr:row>34</xdr:row>
      <xdr:rowOff>160020</xdr:rowOff>
    </xdr:to>
    <xdr:graphicFrame macro="">
      <xdr:nvGraphicFramePr>
        <xdr:cNvPr id="3" name="Chart 2">
          <a:extLst>
            <a:ext uri="{FF2B5EF4-FFF2-40B4-BE49-F238E27FC236}">
              <a16:creationId xmlns:a16="http://schemas.microsoft.com/office/drawing/2014/main" id="{7BA9F121-9D75-E385-2D86-208AFF5EB8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121920</xdr:colOff>
      <xdr:row>3</xdr:row>
      <xdr:rowOff>7620</xdr:rowOff>
    </xdr:from>
    <xdr:to>
      <xdr:col>14</xdr:col>
      <xdr:colOff>213360</xdr:colOff>
      <xdr:row>16</xdr:row>
      <xdr:rowOff>97155</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2C9F2DE9-EE7B-716B-22C6-208EAFBA1F2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063740" y="556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304800</xdr:colOff>
      <xdr:row>3</xdr:row>
      <xdr:rowOff>7620</xdr:rowOff>
    </xdr:from>
    <xdr:to>
      <xdr:col>17</xdr:col>
      <xdr:colOff>205740</xdr:colOff>
      <xdr:row>16</xdr:row>
      <xdr:rowOff>97155</xdr:rowOff>
    </xdr:to>
    <mc:AlternateContent xmlns:mc="http://schemas.openxmlformats.org/markup-compatibility/2006" xmlns:a14="http://schemas.microsoft.com/office/drawing/2010/main">
      <mc:Choice Requires="a14">
        <xdr:graphicFrame macro="">
          <xdr:nvGraphicFramePr>
            <xdr:cNvPr id="5" name="Brand">
              <a:extLst>
                <a:ext uri="{FF2B5EF4-FFF2-40B4-BE49-F238E27FC236}">
                  <a16:creationId xmlns:a16="http://schemas.microsoft.com/office/drawing/2014/main" id="{08853082-CC2A-166D-3326-01F8CB75343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8983980" y="556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586740</xdr:colOff>
      <xdr:row>6</xdr:row>
      <xdr:rowOff>38100</xdr:rowOff>
    </xdr:from>
    <xdr:to>
      <xdr:col>8</xdr:col>
      <xdr:colOff>266700</xdr:colOff>
      <xdr:row>13</xdr:row>
      <xdr:rowOff>129540</xdr:rowOff>
    </xdr:to>
    <mc:AlternateContent xmlns:mc="http://schemas.openxmlformats.org/markup-compatibility/2006" xmlns:tsle="http://schemas.microsoft.com/office/drawing/2012/timeslicer">
      <mc:Choice Requires="tsle">
        <xdr:graphicFrame macro="">
          <xdr:nvGraphicFramePr>
            <xdr:cNvPr id="2" name="Date of Release">
              <a:extLst>
                <a:ext uri="{FF2B5EF4-FFF2-40B4-BE49-F238E27FC236}">
                  <a16:creationId xmlns:a16="http://schemas.microsoft.com/office/drawing/2014/main" id="{9442B43D-B7EB-757B-449E-2E29F9F41404}"/>
                </a:ext>
              </a:extLst>
            </xdr:cNvPr>
            <xdr:cNvGraphicFramePr/>
          </xdr:nvGraphicFramePr>
          <xdr:xfrm>
            <a:off x="0" y="0"/>
            <a:ext cx="0" cy="0"/>
          </xdr:xfrm>
          <a:graphic>
            <a:graphicData uri="http://schemas.microsoft.com/office/drawing/2012/timeslicer">
              <tsle:timeslicer name="Date of Release"/>
            </a:graphicData>
          </a:graphic>
        </xdr:graphicFrame>
      </mc:Choice>
      <mc:Fallback xmlns="">
        <xdr:sp macro="" textlink="">
          <xdr:nvSpPr>
            <xdr:cNvPr id="0" name=""/>
            <xdr:cNvSpPr>
              <a:spLocks noTextEdit="1"/>
            </xdr:cNvSpPr>
          </xdr:nvSpPr>
          <xdr:spPr>
            <a:xfrm>
              <a:off x="2613660" y="11353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Kashyap" refreshedDate="45649.538481597221" createdVersion="8" refreshedVersion="8" minRefreshableVersion="3" recordCount="30" xr:uid="{CB44D262-B2D2-41DB-A76C-7DB83BBCAECD}">
  <cacheSource type="worksheet">
    <worksheetSource ref="A1:G31" sheet="Data"/>
  </cacheSource>
  <cacheFields count="7">
    <cacheField name="Brand" numFmtId="0">
      <sharedItems count="10">
        <s v="Apple"/>
        <s v="Samsung"/>
        <s v="Google"/>
        <s v="Sony"/>
        <s v="Microsoft"/>
        <s v="Dell"/>
        <s v="HP"/>
        <s v="Lenovo"/>
        <s v="Asus"/>
        <s v="Acer"/>
      </sharedItems>
    </cacheField>
    <cacheField name="Device" numFmtId="0">
      <sharedItems count="28">
        <s v="iPhone"/>
        <s v="Galaxy"/>
        <s v="Pixel"/>
        <s v="PlayStation"/>
        <s v="Surface"/>
        <s v="XPS"/>
        <s v="Spectre"/>
        <s v="ThinkPad"/>
        <s v="ROG"/>
        <s v="Predator"/>
        <s v="MacBook"/>
        <s v="Odyssey"/>
        <s v="Pixelbook"/>
        <s v="Xperia"/>
        <s v="Xbox"/>
        <s v="Alienware"/>
        <s v="Pavilion"/>
        <s v="IdeaPad"/>
        <s v="ZenBook"/>
        <s v="Swift"/>
        <s v="iPad"/>
        <s v="Nest"/>
        <s v="WH"/>
        <s v="UltraSharp"/>
        <s v="Elite"/>
        <s v="Legion"/>
        <s v="TUF"/>
        <s v="Aspire"/>
      </sharedItems>
    </cacheField>
    <cacheField name="Model" numFmtId="0">
      <sharedItems containsMixedTypes="1" containsNumber="1" containsInteger="1" minValue="3" maxValue="14" count="28">
        <s v="13 Pro Max"/>
        <s v="S21 Ultra"/>
        <s v="6 Pro"/>
        <n v="5"/>
        <s v="Laptop 4"/>
        <n v="13"/>
        <s v="x360"/>
        <s v="X1 Carbon"/>
        <s v="Zephyrus G14"/>
        <s v="Helios 300"/>
        <s v="Pro 14-inch"/>
        <s v="G9"/>
        <s v="Go"/>
        <s v="1 III"/>
        <s v="Series X"/>
        <s v="m15 R5"/>
        <s v="5 Pro"/>
        <n v="14"/>
        <n v="3"/>
        <s v="Pro 12.9-inch"/>
        <s v="Tab S7+"/>
        <s v="Hub Max"/>
        <s v="1000XM4"/>
        <s v="Pro 8"/>
        <s v="U2720Q"/>
        <s v="Dragonfly"/>
        <s v="7i"/>
        <s v="Gaming A15"/>
      </sharedItems>
    </cacheField>
    <cacheField name="Country of Origin" numFmtId="0">
      <sharedItems count="6">
        <s v="United States"/>
        <s v="South Korea"/>
        <s v="Japan"/>
        <s v="China"/>
        <s v="Taiwan"/>
        <s v="Malaysia"/>
      </sharedItems>
    </cacheField>
    <cacheField name="Date of Release" numFmtId="14">
      <sharedItems containsSemiMixedTypes="0" containsNonDate="0" containsDate="1" containsString="0" minDate="2020-07-22T00:00:00" maxDate="2021-10-27T00:00:00" count="30">
        <d v="2021-09-24T00:00:00"/>
        <d v="2021-01-29T00:00:00"/>
        <d v="2021-10-19T00:00:00"/>
        <d v="2020-11-12T00:00:00"/>
        <d v="2021-04-15T00:00:00"/>
        <d v="2021-01-28T00:00:00"/>
        <d v="2021-04-16T00:00:00"/>
        <d v="2021-02-15T00:00:00"/>
        <d v="2021-03-15T00:00:00"/>
        <d v="2021-02-17T00:00:00"/>
        <d v="2021-10-26T00:00:00"/>
        <d v="2020-07-22T00:00:00"/>
        <d v="2021-06-17T00:00:00"/>
        <d v="2021-08-19T00:00:00"/>
        <d v="2020-11-10T00:00:00"/>
        <d v="2021-04-20T00:00:00"/>
        <d v="2021-05-14T00:00:00"/>
        <d v="2021-03-10T00:00:00"/>
        <d v="2021-01-15T00:00:00"/>
        <d v="2021-02-10T00:00:00"/>
        <d v="2021-05-21T00:00:00"/>
        <d v="2020-08-21T00:00:00"/>
        <d v="2021-03-30T00:00:00"/>
        <d v="2020-08-06T00:00:00"/>
        <d v="2021-10-05T00:00:00"/>
        <d v="2020-12-25T00:00:00"/>
        <d v="2021-06-28T00:00:00"/>
        <d v="2021-04-05T00:00:00"/>
        <d v="2021-03-20T00:00:00"/>
        <d v="2021-01-30T00:00:00"/>
      </sharedItems>
    </cacheField>
    <cacheField name="Month" numFmtId="14">
      <sharedItems containsNonDate="0" count="12">
        <s v="September"/>
        <s v="January"/>
        <s v="October"/>
        <s v="November"/>
        <s v="April"/>
        <s v="February"/>
        <s v="March"/>
        <s v="July"/>
        <s v="June"/>
        <s v="August"/>
        <s v="May"/>
        <s v="December"/>
      </sharedItems>
    </cacheField>
    <cacheField name="Price (USD)" numFmtId="0">
      <sharedItems containsSemiMixedTypes="0" containsString="0" containsNumber="1" containsInteger="1" minValue="229" maxValue="1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Kashyap" refreshedDate="45649.543606828702" createdVersion="8" refreshedVersion="8" minRefreshableVersion="3" recordCount="31" xr:uid="{82041678-8C8E-4C5C-AD20-4BE919ABEACF}">
  <cacheSource type="worksheet">
    <worksheetSource ref="A1:G1048576" sheet="Data"/>
  </cacheSource>
  <cacheFields count="7">
    <cacheField name="Brand" numFmtId="0">
      <sharedItems containsBlank="1" count="11">
        <s v="Apple"/>
        <s v="Samsung"/>
        <s v="Google"/>
        <s v="Sony"/>
        <s v="Microsoft"/>
        <s v="Dell"/>
        <s v="HP"/>
        <s v="Lenovo"/>
        <s v="Asus"/>
        <s v="Acer"/>
        <m/>
      </sharedItems>
    </cacheField>
    <cacheField name="Device" numFmtId="0">
      <sharedItems containsBlank="1" count="29">
        <s v="iPhone"/>
        <s v="Galaxy"/>
        <s v="Pixel"/>
        <s v="PlayStation"/>
        <s v="Surface"/>
        <s v="XPS"/>
        <s v="Spectre"/>
        <s v="ThinkPad"/>
        <s v="ROG"/>
        <s v="Predator"/>
        <s v="MacBook"/>
        <s v="Odyssey"/>
        <s v="Pixelbook"/>
        <s v="Xperia"/>
        <s v="Xbox"/>
        <s v="Alienware"/>
        <s v="Pavilion"/>
        <s v="IdeaPad"/>
        <s v="ZenBook"/>
        <s v="Swift"/>
        <s v="iPad"/>
        <s v="Nest"/>
        <s v="WH"/>
        <s v="UltraSharp"/>
        <s v="Elite"/>
        <s v="Legion"/>
        <s v="TUF"/>
        <s v="Aspire"/>
        <m/>
      </sharedItems>
    </cacheField>
    <cacheField name="Model" numFmtId="0">
      <sharedItems containsBlank="1" containsMixedTypes="1" containsNumber="1" containsInteger="1" minValue="3" maxValue="14" count="29">
        <s v="13 Pro Max"/>
        <s v="S21 Ultra"/>
        <s v="6 Pro"/>
        <n v="5"/>
        <s v="Laptop 4"/>
        <n v="13"/>
        <s v="x360"/>
        <s v="X1 Carbon"/>
        <s v="Zephyrus G14"/>
        <s v="Helios 300"/>
        <s v="Pro 14-inch"/>
        <s v="G9"/>
        <s v="Go"/>
        <s v="1 III"/>
        <s v="Series X"/>
        <s v="m15 R5"/>
        <s v="5 Pro"/>
        <n v="14"/>
        <n v="3"/>
        <s v="Pro 12.9-inch"/>
        <s v="Tab S7+"/>
        <s v="Hub Max"/>
        <s v="1000XM4"/>
        <s v="Pro 8"/>
        <s v="U2720Q"/>
        <s v="Dragonfly"/>
        <s v="7i"/>
        <s v="Gaming A15"/>
        <m/>
      </sharedItems>
    </cacheField>
    <cacheField name="Country of Origin" numFmtId="0">
      <sharedItems containsBlank="1" count="7">
        <s v="United States"/>
        <s v="South Korea"/>
        <s v="Japan"/>
        <s v="China"/>
        <s v="Taiwan"/>
        <s v="Malaysia"/>
        <m/>
      </sharedItems>
    </cacheField>
    <cacheField name="Date of Release" numFmtId="0">
      <sharedItems containsNonDate="0" containsDate="1" containsString="0" containsBlank="1" minDate="2020-07-22T00:00:00" maxDate="2021-10-27T00:00:00" count="31">
        <d v="2021-09-24T00:00:00"/>
        <d v="2021-01-29T00:00:00"/>
        <d v="2021-10-19T00:00:00"/>
        <d v="2020-11-12T00:00:00"/>
        <d v="2021-04-15T00:00:00"/>
        <d v="2021-01-28T00:00:00"/>
        <d v="2021-04-16T00:00:00"/>
        <d v="2021-02-15T00:00:00"/>
        <d v="2021-03-15T00:00:00"/>
        <d v="2021-02-17T00:00:00"/>
        <d v="2021-10-26T00:00:00"/>
        <d v="2020-07-22T00:00:00"/>
        <d v="2021-06-17T00:00:00"/>
        <d v="2021-08-19T00:00:00"/>
        <d v="2020-11-10T00:00:00"/>
        <d v="2021-04-20T00:00:00"/>
        <d v="2021-05-14T00:00:00"/>
        <d v="2021-03-10T00:00:00"/>
        <d v="2021-01-15T00:00:00"/>
        <d v="2021-02-10T00:00:00"/>
        <d v="2021-05-21T00:00:00"/>
        <d v="2020-08-21T00:00:00"/>
        <d v="2021-03-30T00:00:00"/>
        <d v="2020-08-06T00:00:00"/>
        <d v="2021-10-05T00:00:00"/>
        <d v="2020-12-25T00:00:00"/>
        <d v="2021-06-28T00:00:00"/>
        <d v="2021-04-05T00:00:00"/>
        <d v="2021-03-20T00:00:00"/>
        <d v="2021-01-30T00:00:00"/>
        <m/>
      </sharedItems>
    </cacheField>
    <cacheField name="Month" numFmtId="0">
      <sharedItems containsNonDate="0" containsBlank="1" count="13">
        <s v="September"/>
        <s v="January"/>
        <s v="October"/>
        <s v="November"/>
        <s v="April"/>
        <s v="February"/>
        <s v="March"/>
        <s v="July"/>
        <s v="June"/>
        <s v="August"/>
        <s v="May"/>
        <s v="December"/>
        <m/>
      </sharedItems>
    </cacheField>
    <cacheField name="Price (USD)" numFmtId="0">
      <sharedItems containsString="0" containsBlank="1" containsNumber="1" containsInteger="1" minValue="229" maxValue="1999"/>
    </cacheField>
  </cacheFields>
  <extLst>
    <ext xmlns:x14="http://schemas.microsoft.com/office/spreadsheetml/2009/9/main" uri="{725AE2AE-9491-48be-B2B4-4EB974FC3084}">
      <x14:pivotCacheDefinition pivotCacheId="197823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x v="0"/>
    <x v="0"/>
    <n v="1099"/>
  </r>
  <r>
    <x v="1"/>
    <x v="1"/>
    <x v="1"/>
    <x v="1"/>
    <x v="1"/>
    <x v="1"/>
    <n v="1199"/>
  </r>
  <r>
    <x v="2"/>
    <x v="2"/>
    <x v="2"/>
    <x v="0"/>
    <x v="2"/>
    <x v="2"/>
    <n v="899"/>
  </r>
  <r>
    <x v="3"/>
    <x v="3"/>
    <x v="3"/>
    <x v="2"/>
    <x v="3"/>
    <x v="3"/>
    <n v="499"/>
  </r>
  <r>
    <x v="4"/>
    <x v="4"/>
    <x v="4"/>
    <x v="0"/>
    <x v="4"/>
    <x v="4"/>
    <n v="999"/>
  </r>
  <r>
    <x v="5"/>
    <x v="5"/>
    <x v="5"/>
    <x v="0"/>
    <x v="5"/>
    <x v="1"/>
    <n v="999"/>
  </r>
  <r>
    <x v="6"/>
    <x v="6"/>
    <x v="6"/>
    <x v="0"/>
    <x v="6"/>
    <x v="4"/>
    <n v="1349"/>
  </r>
  <r>
    <x v="7"/>
    <x v="7"/>
    <x v="7"/>
    <x v="3"/>
    <x v="7"/>
    <x v="5"/>
    <n v="1429"/>
  </r>
  <r>
    <x v="8"/>
    <x v="8"/>
    <x v="8"/>
    <x v="4"/>
    <x v="8"/>
    <x v="6"/>
    <n v="1499"/>
  </r>
  <r>
    <x v="9"/>
    <x v="9"/>
    <x v="9"/>
    <x v="4"/>
    <x v="9"/>
    <x v="5"/>
    <n v="1299"/>
  </r>
  <r>
    <x v="0"/>
    <x v="10"/>
    <x v="10"/>
    <x v="0"/>
    <x v="10"/>
    <x v="2"/>
    <n v="1999"/>
  </r>
  <r>
    <x v="1"/>
    <x v="11"/>
    <x v="11"/>
    <x v="1"/>
    <x v="11"/>
    <x v="7"/>
    <n v="1699"/>
  </r>
  <r>
    <x v="2"/>
    <x v="12"/>
    <x v="12"/>
    <x v="0"/>
    <x v="12"/>
    <x v="8"/>
    <n v="649"/>
  </r>
  <r>
    <x v="3"/>
    <x v="13"/>
    <x v="13"/>
    <x v="2"/>
    <x v="13"/>
    <x v="9"/>
    <n v="1299"/>
  </r>
  <r>
    <x v="4"/>
    <x v="14"/>
    <x v="14"/>
    <x v="0"/>
    <x v="14"/>
    <x v="3"/>
    <n v="499"/>
  </r>
  <r>
    <x v="5"/>
    <x v="15"/>
    <x v="15"/>
    <x v="0"/>
    <x v="15"/>
    <x v="4"/>
    <n v="1999"/>
  </r>
  <r>
    <x v="6"/>
    <x v="16"/>
    <x v="6"/>
    <x v="0"/>
    <x v="16"/>
    <x v="10"/>
    <n v="749"/>
  </r>
  <r>
    <x v="7"/>
    <x v="17"/>
    <x v="16"/>
    <x v="3"/>
    <x v="17"/>
    <x v="6"/>
    <n v="999"/>
  </r>
  <r>
    <x v="8"/>
    <x v="18"/>
    <x v="17"/>
    <x v="4"/>
    <x v="18"/>
    <x v="1"/>
    <n v="799"/>
  </r>
  <r>
    <x v="9"/>
    <x v="19"/>
    <x v="18"/>
    <x v="4"/>
    <x v="19"/>
    <x v="5"/>
    <n v="699"/>
  </r>
  <r>
    <x v="0"/>
    <x v="20"/>
    <x v="19"/>
    <x v="0"/>
    <x v="20"/>
    <x v="10"/>
    <n v="1099"/>
  </r>
  <r>
    <x v="1"/>
    <x v="1"/>
    <x v="20"/>
    <x v="1"/>
    <x v="21"/>
    <x v="9"/>
    <n v="849"/>
  </r>
  <r>
    <x v="2"/>
    <x v="21"/>
    <x v="21"/>
    <x v="0"/>
    <x v="22"/>
    <x v="6"/>
    <n v="229"/>
  </r>
  <r>
    <x v="3"/>
    <x v="22"/>
    <x v="22"/>
    <x v="5"/>
    <x v="23"/>
    <x v="9"/>
    <n v="349"/>
  </r>
  <r>
    <x v="4"/>
    <x v="4"/>
    <x v="23"/>
    <x v="0"/>
    <x v="24"/>
    <x v="2"/>
    <n v="899"/>
  </r>
  <r>
    <x v="5"/>
    <x v="23"/>
    <x v="24"/>
    <x v="3"/>
    <x v="25"/>
    <x v="11"/>
    <n v="499"/>
  </r>
  <r>
    <x v="6"/>
    <x v="24"/>
    <x v="25"/>
    <x v="0"/>
    <x v="26"/>
    <x v="8"/>
    <n v="1799"/>
  </r>
  <r>
    <x v="7"/>
    <x v="25"/>
    <x v="26"/>
    <x v="3"/>
    <x v="27"/>
    <x v="4"/>
    <n v="1499"/>
  </r>
  <r>
    <x v="8"/>
    <x v="26"/>
    <x v="27"/>
    <x v="4"/>
    <x v="28"/>
    <x v="6"/>
    <n v="1199"/>
  </r>
  <r>
    <x v="9"/>
    <x v="27"/>
    <x v="3"/>
    <x v="4"/>
    <x v="29"/>
    <x v="1"/>
    <n v="5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x v="0"/>
    <x v="0"/>
    <x v="0"/>
    <x v="0"/>
    <x v="0"/>
    <n v="1099"/>
  </r>
  <r>
    <x v="1"/>
    <x v="1"/>
    <x v="1"/>
    <x v="1"/>
    <x v="1"/>
    <x v="1"/>
    <n v="1199"/>
  </r>
  <r>
    <x v="2"/>
    <x v="2"/>
    <x v="2"/>
    <x v="0"/>
    <x v="2"/>
    <x v="2"/>
    <n v="899"/>
  </r>
  <r>
    <x v="3"/>
    <x v="3"/>
    <x v="3"/>
    <x v="2"/>
    <x v="3"/>
    <x v="3"/>
    <n v="499"/>
  </r>
  <r>
    <x v="4"/>
    <x v="4"/>
    <x v="4"/>
    <x v="0"/>
    <x v="4"/>
    <x v="4"/>
    <n v="999"/>
  </r>
  <r>
    <x v="5"/>
    <x v="5"/>
    <x v="5"/>
    <x v="0"/>
    <x v="5"/>
    <x v="1"/>
    <n v="999"/>
  </r>
  <r>
    <x v="6"/>
    <x v="6"/>
    <x v="6"/>
    <x v="0"/>
    <x v="6"/>
    <x v="4"/>
    <n v="1349"/>
  </r>
  <r>
    <x v="7"/>
    <x v="7"/>
    <x v="7"/>
    <x v="3"/>
    <x v="7"/>
    <x v="5"/>
    <n v="1429"/>
  </r>
  <r>
    <x v="8"/>
    <x v="8"/>
    <x v="8"/>
    <x v="4"/>
    <x v="8"/>
    <x v="6"/>
    <n v="1499"/>
  </r>
  <r>
    <x v="9"/>
    <x v="9"/>
    <x v="9"/>
    <x v="4"/>
    <x v="9"/>
    <x v="5"/>
    <n v="1299"/>
  </r>
  <r>
    <x v="0"/>
    <x v="10"/>
    <x v="10"/>
    <x v="0"/>
    <x v="10"/>
    <x v="2"/>
    <n v="1999"/>
  </r>
  <r>
    <x v="1"/>
    <x v="11"/>
    <x v="11"/>
    <x v="1"/>
    <x v="11"/>
    <x v="7"/>
    <n v="1699"/>
  </r>
  <r>
    <x v="2"/>
    <x v="12"/>
    <x v="12"/>
    <x v="0"/>
    <x v="12"/>
    <x v="8"/>
    <n v="649"/>
  </r>
  <r>
    <x v="3"/>
    <x v="13"/>
    <x v="13"/>
    <x v="2"/>
    <x v="13"/>
    <x v="9"/>
    <n v="1299"/>
  </r>
  <r>
    <x v="4"/>
    <x v="14"/>
    <x v="14"/>
    <x v="0"/>
    <x v="14"/>
    <x v="3"/>
    <n v="499"/>
  </r>
  <r>
    <x v="5"/>
    <x v="15"/>
    <x v="15"/>
    <x v="0"/>
    <x v="15"/>
    <x v="4"/>
    <n v="1999"/>
  </r>
  <r>
    <x v="6"/>
    <x v="16"/>
    <x v="6"/>
    <x v="0"/>
    <x v="16"/>
    <x v="10"/>
    <n v="749"/>
  </r>
  <r>
    <x v="7"/>
    <x v="17"/>
    <x v="16"/>
    <x v="3"/>
    <x v="17"/>
    <x v="6"/>
    <n v="999"/>
  </r>
  <r>
    <x v="8"/>
    <x v="18"/>
    <x v="17"/>
    <x v="4"/>
    <x v="18"/>
    <x v="1"/>
    <n v="799"/>
  </r>
  <r>
    <x v="9"/>
    <x v="19"/>
    <x v="18"/>
    <x v="4"/>
    <x v="19"/>
    <x v="5"/>
    <n v="699"/>
  </r>
  <r>
    <x v="0"/>
    <x v="20"/>
    <x v="19"/>
    <x v="0"/>
    <x v="20"/>
    <x v="10"/>
    <n v="1099"/>
  </r>
  <r>
    <x v="1"/>
    <x v="1"/>
    <x v="20"/>
    <x v="1"/>
    <x v="21"/>
    <x v="9"/>
    <n v="849"/>
  </r>
  <r>
    <x v="2"/>
    <x v="21"/>
    <x v="21"/>
    <x v="0"/>
    <x v="22"/>
    <x v="6"/>
    <n v="229"/>
  </r>
  <r>
    <x v="3"/>
    <x v="22"/>
    <x v="22"/>
    <x v="5"/>
    <x v="23"/>
    <x v="9"/>
    <n v="349"/>
  </r>
  <r>
    <x v="4"/>
    <x v="4"/>
    <x v="23"/>
    <x v="0"/>
    <x v="24"/>
    <x v="2"/>
    <n v="899"/>
  </r>
  <r>
    <x v="5"/>
    <x v="23"/>
    <x v="24"/>
    <x v="3"/>
    <x v="25"/>
    <x v="11"/>
    <n v="499"/>
  </r>
  <r>
    <x v="6"/>
    <x v="24"/>
    <x v="25"/>
    <x v="0"/>
    <x v="26"/>
    <x v="8"/>
    <n v="1799"/>
  </r>
  <r>
    <x v="7"/>
    <x v="25"/>
    <x v="26"/>
    <x v="3"/>
    <x v="27"/>
    <x v="4"/>
    <n v="1499"/>
  </r>
  <r>
    <x v="8"/>
    <x v="26"/>
    <x v="27"/>
    <x v="4"/>
    <x v="28"/>
    <x v="6"/>
    <n v="1199"/>
  </r>
  <r>
    <x v="9"/>
    <x v="27"/>
    <x v="3"/>
    <x v="4"/>
    <x v="29"/>
    <x v="1"/>
    <n v="599"/>
  </r>
  <r>
    <x v="10"/>
    <x v="28"/>
    <x v="28"/>
    <x v="6"/>
    <x v="30"/>
    <x v="1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1C1115-E05B-4651-AA78-76A0218B20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7" firstHeaderRow="1" firstDataRow="2" firstDataCol="1" rowPageCount="1" colPageCount="1"/>
  <pivotFields count="7">
    <pivotField axis="axisCol" showAll="0">
      <items count="11">
        <item x="9"/>
        <item x="0"/>
        <item x="8"/>
        <item x="5"/>
        <item x="2"/>
        <item x="6"/>
        <item x="7"/>
        <item x="4"/>
        <item x="1"/>
        <item x="3"/>
        <item t="default"/>
      </items>
    </pivotField>
    <pivotField showAll="0"/>
    <pivotField axis="axisRow" showAll="0">
      <items count="29">
        <item x="18"/>
        <item x="3"/>
        <item x="5"/>
        <item x="17"/>
        <item x="13"/>
        <item x="22"/>
        <item x="0"/>
        <item x="16"/>
        <item x="2"/>
        <item x="26"/>
        <item x="25"/>
        <item x="11"/>
        <item x="27"/>
        <item x="12"/>
        <item x="9"/>
        <item x="21"/>
        <item x="4"/>
        <item x="15"/>
        <item x="19"/>
        <item x="10"/>
        <item x="23"/>
        <item x="1"/>
        <item x="14"/>
        <item x="20"/>
        <item x="24"/>
        <item x="7"/>
        <item x="6"/>
        <item x="8"/>
        <item t="default"/>
      </items>
    </pivotField>
    <pivotField axis="axisRow" showAll="0">
      <items count="7">
        <item x="3"/>
        <item x="2"/>
        <item x="5"/>
        <item x="1"/>
        <item x="4"/>
        <item x="0"/>
        <item t="default"/>
      </items>
    </pivotField>
    <pivotField numFmtId="14" multipleItemSelectionAllowed="1" showAll="0">
      <items count="31">
        <item h="1" x="11"/>
        <item h="1" x="23"/>
        <item h="1" x="21"/>
        <item h="1" x="14"/>
        <item x="3"/>
        <item h="1" x="25"/>
        <item h="1" x="18"/>
        <item h="1" x="5"/>
        <item h="1" x="1"/>
        <item h="1" x="29"/>
        <item h="1" x="19"/>
        <item h="1" x="7"/>
        <item h="1" x="9"/>
        <item h="1" x="17"/>
        <item h="1" x="8"/>
        <item h="1" x="28"/>
        <item h="1" x="22"/>
        <item h="1" x="27"/>
        <item h="1" x="4"/>
        <item h="1" x="6"/>
        <item h="1" x="15"/>
        <item h="1" x="16"/>
        <item h="1" x="20"/>
        <item h="1" x="12"/>
        <item h="1" x="26"/>
        <item h="1" x="13"/>
        <item h="1" x="0"/>
        <item h="1" x="24"/>
        <item h="1" x="2"/>
        <item h="1" x="10"/>
        <item t="default"/>
      </items>
    </pivotField>
    <pivotField axis="axisPage" multipleItemSelectionAllowed="1" showAll="0">
      <items count="13">
        <item x="1"/>
        <item h="1" x="5"/>
        <item h="1" x="6"/>
        <item x="4"/>
        <item h="1" x="10"/>
        <item h="1" x="8"/>
        <item h="1" x="7"/>
        <item h="1" x="9"/>
        <item h="1" x="0"/>
        <item h="1" x="2"/>
        <item h="1" x="3"/>
        <item h="1" x="11"/>
        <item t="default"/>
      </items>
    </pivotField>
    <pivotField dataField="1" showAll="0"/>
  </pivotFields>
  <rowFields count="2">
    <field x="3"/>
    <field x="2"/>
  </rowFields>
  <rowItems count="13">
    <i>
      <x/>
    </i>
    <i r="1">
      <x v="9"/>
    </i>
    <i>
      <x v="3"/>
    </i>
    <i r="1">
      <x v="21"/>
    </i>
    <i>
      <x v="4"/>
    </i>
    <i r="1">
      <x v="1"/>
    </i>
    <i r="1">
      <x v="3"/>
    </i>
    <i>
      <x v="5"/>
    </i>
    <i r="1">
      <x v="2"/>
    </i>
    <i r="1">
      <x v="16"/>
    </i>
    <i r="1">
      <x v="17"/>
    </i>
    <i r="1">
      <x v="26"/>
    </i>
    <i t="grand">
      <x/>
    </i>
  </rowItems>
  <colFields count="1">
    <field x="0"/>
  </colFields>
  <colItems count="8">
    <i>
      <x/>
    </i>
    <i>
      <x v="2"/>
    </i>
    <i>
      <x v="3"/>
    </i>
    <i>
      <x v="5"/>
    </i>
    <i>
      <x v="6"/>
    </i>
    <i>
      <x v="7"/>
    </i>
    <i>
      <x v="8"/>
    </i>
    <i t="grand">
      <x/>
    </i>
  </colItems>
  <pageFields count="1">
    <pageField fld="5" hier="-1"/>
  </pageFields>
  <dataFields count="1">
    <dataField name="Sum of Price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371D09-0CE7-4343-9EDE-60153FE4990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L11" firstHeaderRow="1" firstDataRow="2" firstDataCol="1"/>
  <pivotFields count="7">
    <pivotField axis="axisCol" showAll="0">
      <items count="11">
        <item x="9"/>
        <item x="0"/>
        <item x="8"/>
        <item x="5"/>
        <item x="2"/>
        <item x="6"/>
        <item x="7"/>
        <item x="4"/>
        <item x="1"/>
        <item x="3"/>
        <item t="default"/>
      </items>
    </pivotField>
    <pivotField showAll="0">
      <items count="29">
        <item x="15"/>
        <item x="27"/>
        <item x="24"/>
        <item x="1"/>
        <item x="17"/>
        <item x="20"/>
        <item x="0"/>
        <item x="25"/>
        <item x="10"/>
        <item x="21"/>
        <item x="11"/>
        <item x="16"/>
        <item x="2"/>
        <item x="12"/>
        <item x="3"/>
        <item x="9"/>
        <item x="8"/>
        <item x="6"/>
        <item x="4"/>
        <item x="19"/>
        <item x="7"/>
        <item x="26"/>
        <item x="23"/>
        <item x="22"/>
        <item x="14"/>
        <item x="13"/>
        <item x="5"/>
        <item x="18"/>
        <item t="default"/>
      </items>
    </pivotField>
    <pivotField showAll="0">
      <items count="29">
        <item x="18"/>
        <item x="3"/>
        <item x="5"/>
        <item x="17"/>
        <item x="13"/>
        <item x="22"/>
        <item x="0"/>
        <item x="16"/>
        <item x="2"/>
        <item x="26"/>
        <item x="25"/>
        <item x="11"/>
        <item x="27"/>
        <item x="12"/>
        <item x="9"/>
        <item x="21"/>
        <item x="4"/>
        <item x="15"/>
        <item x="19"/>
        <item x="10"/>
        <item x="23"/>
        <item x="1"/>
        <item x="14"/>
        <item x="20"/>
        <item x="24"/>
        <item x="7"/>
        <item x="6"/>
        <item x="8"/>
        <item t="default"/>
      </items>
    </pivotField>
    <pivotField axis="axisRow" showAll="0">
      <items count="7">
        <item x="3"/>
        <item x="2"/>
        <item x="5"/>
        <item x="1"/>
        <item x="4"/>
        <item x="0"/>
        <item t="default"/>
      </items>
    </pivotField>
    <pivotField numFmtId="14" showAll="0"/>
    <pivotField showAll="0">
      <items count="13">
        <item x="1"/>
        <item x="5"/>
        <item x="6"/>
        <item x="4"/>
        <item x="10"/>
        <item x="8"/>
        <item x="7"/>
        <item x="9"/>
        <item x="0"/>
        <item x="2"/>
        <item x="3"/>
        <item x="11"/>
        <item t="default"/>
      </items>
    </pivotField>
    <pivotField dataField="1" showAll="0"/>
  </pivotFields>
  <rowFields count="1">
    <field x="3"/>
  </rowFields>
  <rowItems count="7">
    <i>
      <x/>
    </i>
    <i>
      <x v="1"/>
    </i>
    <i>
      <x v="2"/>
    </i>
    <i>
      <x v="3"/>
    </i>
    <i>
      <x v="4"/>
    </i>
    <i>
      <x v="5"/>
    </i>
    <i t="grand">
      <x/>
    </i>
  </rowItems>
  <colFields count="1">
    <field x="0"/>
  </colFields>
  <colItems count="11">
    <i>
      <x/>
    </i>
    <i>
      <x v="1"/>
    </i>
    <i>
      <x v="2"/>
    </i>
    <i>
      <x v="3"/>
    </i>
    <i>
      <x v="4"/>
    </i>
    <i>
      <x v="5"/>
    </i>
    <i>
      <x v="6"/>
    </i>
    <i>
      <x v="7"/>
    </i>
    <i>
      <x v="8"/>
    </i>
    <i>
      <x v="9"/>
    </i>
    <i t="grand">
      <x/>
    </i>
  </colItems>
  <dataFields count="1">
    <dataField name="Sum of Price (USD)" fld="6" baseField="0" baseItem="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3F9D43-40B4-404F-B65A-D4CA911D3B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7">
    <pivotField axis="axisRow" showAll="0">
      <items count="11">
        <item x="9"/>
        <item x="0"/>
        <item x="8"/>
        <item x="5"/>
        <item x="2"/>
        <item x="6"/>
        <item x="7"/>
        <item x="4"/>
        <item x="1"/>
        <item x="3"/>
        <item t="default"/>
      </items>
    </pivotField>
    <pivotField showAll="0"/>
    <pivotField showAll="0"/>
    <pivotField showAll="0"/>
    <pivotField numFmtId="14" showAll="0"/>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Sum of Price (USD)" fld="6"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E6E82B-D1D2-4554-BBAB-1B9732D3B9E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M12" firstHeaderRow="1" firstDataRow="2" firstDataCol="1"/>
  <pivotFields count="7">
    <pivotField axis="axisCol" showAll="0">
      <items count="12">
        <item x="9"/>
        <item x="0"/>
        <item x="8"/>
        <item x="5"/>
        <item x="2"/>
        <item x="6"/>
        <item x="7"/>
        <item x="4"/>
        <item x="1"/>
        <item x="3"/>
        <item x="10"/>
        <item t="default"/>
      </items>
    </pivotField>
    <pivotField showAll="0"/>
    <pivotField showAll="0"/>
    <pivotField axis="axisRow" showAll="0">
      <items count="8">
        <item x="3"/>
        <item x="2"/>
        <item x="5"/>
        <item x="1"/>
        <item x="4"/>
        <item x="0"/>
        <item x="6"/>
        <item t="default"/>
      </items>
    </pivotField>
    <pivotField showAll="0"/>
    <pivotField showAll="0">
      <items count="14">
        <item x="1"/>
        <item x="5"/>
        <item x="6"/>
        <item x="4"/>
        <item x="10"/>
        <item x="8"/>
        <item x="7"/>
        <item x="9"/>
        <item x="0"/>
        <item x="2"/>
        <item x="3"/>
        <item x="11"/>
        <item x="12"/>
        <item t="default"/>
      </items>
    </pivotField>
    <pivotField dataField="1" showAll="0"/>
  </pivotFields>
  <rowFields count="1">
    <field x="3"/>
  </rowFields>
  <rowItems count="8">
    <i>
      <x/>
    </i>
    <i>
      <x v="1"/>
    </i>
    <i>
      <x v="2"/>
    </i>
    <i>
      <x v="3"/>
    </i>
    <i>
      <x v="4"/>
    </i>
    <i>
      <x v="5"/>
    </i>
    <i>
      <x v="6"/>
    </i>
    <i t="grand">
      <x/>
    </i>
  </rowItems>
  <colFields count="1">
    <field x="0"/>
  </colFields>
  <colItems count="12">
    <i>
      <x/>
    </i>
    <i>
      <x v="1"/>
    </i>
    <i>
      <x v="2"/>
    </i>
    <i>
      <x v="3"/>
    </i>
    <i>
      <x v="4"/>
    </i>
    <i>
      <x v="5"/>
    </i>
    <i>
      <x v="6"/>
    </i>
    <i>
      <x v="7"/>
    </i>
    <i>
      <x v="8"/>
    </i>
    <i>
      <x v="9"/>
    </i>
    <i>
      <x v="10"/>
    </i>
    <i t="grand">
      <x/>
    </i>
  </colItems>
  <dataFields count="1">
    <dataField name="Sum of Price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26F91F-37BB-447F-9B57-17FEC157E80A}"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8" firstHeaderRow="1" firstDataRow="2" firstDataCol="1" rowPageCount="1" colPageCount="1"/>
  <pivotFields count="7">
    <pivotField axis="axisCol" showAll="0">
      <items count="12">
        <item x="9"/>
        <item x="0"/>
        <item x="8"/>
        <item x="5"/>
        <item x="2"/>
        <item x="6"/>
        <item x="7"/>
        <item x="4"/>
        <item x="1"/>
        <item x="3"/>
        <item x="10"/>
        <item t="default"/>
      </items>
    </pivotField>
    <pivotField showAll="0"/>
    <pivotField showAll="0"/>
    <pivotField axis="axisRow" showAll="0">
      <items count="8">
        <item x="3"/>
        <item x="2"/>
        <item x="5"/>
        <item x="1"/>
        <item x="4"/>
        <item x="0"/>
        <item x="6"/>
        <item t="default"/>
      </items>
    </pivotField>
    <pivotField showAll="0"/>
    <pivotField axis="axisPage" showAll="0">
      <items count="14">
        <item x="1"/>
        <item x="5"/>
        <item x="6"/>
        <item x="4"/>
        <item x="10"/>
        <item x="8"/>
        <item x="7"/>
        <item x="9"/>
        <item x="0"/>
        <item x="2"/>
        <item x="3"/>
        <item x="11"/>
        <item x="12"/>
        <item t="default"/>
      </items>
    </pivotField>
    <pivotField dataField="1" showAll="0"/>
  </pivotFields>
  <rowFields count="1">
    <field x="3"/>
  </rowFields>
  <rowItems count="4">
    <i>
      <x v="3"/>
    </i>
    <i>
      <x v="4"/>
    </i>
    <i>
      <x v="5"/>
    </i>
    <i t="grand">
      <x/>
    </i>
  </rowItems>
  <colFields count="1">
    <field x="0"/>
  </colFields>
  <colItems count="5">
    <i>
      <x/>
    </i>
    <i>
      <x v="2"/>
    </i>
    <i>
      <x v="3"/>
    </i>
    <i>
      <x v="8"/>
    </i>
    <i t="grand">
      <x/>
    </i>
  </colItems>
  <pageFields count="1">
    <pageField fld="5" item="0" hier="-1"/>
  </pageFields>
  <dataFields count="1">
    <dataField name="Sum of Price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26F91F-37BB-447F-9B57-17FEC157E80A}"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1" firstDataRow="2" firstDataCol="1" rowPageCount="1" colPageCount="1"/>
  <pivotFields count="7">
    <pivotField axis="axisCol" showAll="0">
      <items count="12">
        <item x="9"/>
        <item x="0"/>
        <item x="8"/>
        <item x="5"/>
        <item x="2"/>
        <item x="6"/>
        <item x="7"/>
        <item x="4"/>
        <item x="1"/>
        <item x="3"/>
        <item x="10"/>
        <item t="default"/>
      </items>
    </pivotField>
    <pivotField showAll="0"/>
    <pivotField showAll="0"/>
    <pivotField axis="axisRow" showAll="0">
      <items count="8">
        <item x="3"/>
        <item x="2"/>
        <item x="5"/>
        <item x="1"/>
        <item x="4"/>
        <item x="0"/>
        <item x="6"/>
        <item t="default"/>
      </items>
    </pivotField>
    <pivotField showAll="0"/>
    <pivotField axis="axisPage" showAll="0">
      <items count="14">
        <item x="1"/>
        <item x="5"/>
        <item x="6"/>
        <item x="4"/>
        <item x="10"/>
        <item x="8"/>
        <item x="7"/>
        <item x="9"/>
        <item x="0"/>
        <item x="2"/>
        <item x="3"/>
        <item x="11"/>
        <item x="12"/>
        <item t="default"/>
      </items>
    </pivotField>
    <pivotField dataField="1" showAll="0"/>
  </pivotFields>
  <rowFields count="1">
    <field x="3"/>
  </rowFields>
  <rowItems count="3">
    <i>
      <x/>
    </i>
    <i>
      <x v="4"/>
    </i>
    <i t="grand">
      <x/>
    </i>
  </rowItems>
  <colFields count="1">
    <field x="0"/>
  </colFields>
  <colItems count="3">
    <i>
      <x/>
    </i>
    <i>
      <x v="6"/>
    </i>
    <i t="grand">
      <x/>
    </i>
  </colItems>
  <pageFields count="1">
    <pageField fld="5" item="1" hier="-1"/>
  </pageFields>
  <dataFields count="1">
    <dataField name="Sum of Price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26F91F-37BB-447F-9B57-17FEC157E80A}"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rowPageCount="1" colPageCount="1"/>
  <pivotFields count="7">
    <pivotField axis="axisCol" showAll="0">
      <items count="12">
        <item x="9"/>
        <item x="0"/>
        <item x="8"/>
        <item x="5"/>
        <item x="2"/>
        <item x="6"/>
        <item x="7"/>
        <item x="4"/>
        <item x="1"/>
        <item x="3"/>
        <item x="10"/>
        <item t="default"/>
      </items>
    </pivotField>
    <pivotField showAll="0"/>
    <pivotField showAll="0"/>
    <pivotField axis="axisRow" showAll="0">
      <items count="8">
        <item x="3"/>
        <item x="2"/>
        <item x="5"/>
        <item x="1"/>
        <item x="4"/>
        <item x="0"/>
        <item x="6"/>
        <item t="default"/>
      </items>
    </pivotField>
    <pivotField showAll="0"/>
    <pivotField axis="axisPage" showAll="0">
      <items count="14">
        <item x="1"/>
        <item x="5"/>
        <item x="6"/>
        <item x="4"/>
        <item x="10"/>
        <item x="8"/>
        <item x="7"/>
        <item x="9"/>
        <item x="0"/>
        <item x="2"/>
        <item x="3"/>
        <item x="11"/>
        <item x="12"/>
        <item t="default"/>
      </items>
    </pivotField>
    <pivotField dataField="1" showAll="0"/>
  </pivotFields>
  <rowFields count="1">
    <field x="3"/>
  </rowFields>
  <rowItems count="4">
    <i>
      <x/>
    </i>
    <i>
      <x v="4"/>
    </i>
    <i>
      <x v="5"/>
    </i>
    <i t="grand">
      <x/>
    </i>
  </rowItems>
  <colFields count="1">
    <field x="0"/>
  </colFields>
  <colItems count="4">
    <i>
      <x v="2"/>
    </i>
    <i>
      <x v="4"/>
    </i>
    <i>
      <x v="6"/>
    </i>
    <i t="grand">
      <x/>
    </i>
  </colItems>
  <pageFields count="1">
    <pageField fld="5" item="2" hier="-1"/>
  </pageFields>
  <dataFields count="1">
    <dataField name="Sum of Price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26F91F-37BB-447F-9B57-17FEC157E80A}"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7" firstHeaderRow="1" firstDataRow="2" firstDataCol="1" rowPageCount="1" colPageCount="1"/>
  <pivotFields count="7">
    <pivotField axis="axisCol" showAll="0">
      <items count="12">
        <item x="9"/>
        <item x="0"/>
        <item x="8"/>
        <item x="5"/>
        <item x="2"/>
        <item x="6"/>
        <item x="7"/>
        <item x="4"/>
        <item x="1"/>
        <item x="3"/>
        <item x="10"/>
        <item t="default"/>
      </items>
    </pivotField>
    <pivotField showAll="0"/>
    <pivotField showAll="0"/>
    <pivotField axis="axisRow" showAll="0">
      <items count="8">
        <item x="3"/>
        <item x="2"/>
        <item x="5"/>
        <item x="1"/>
        <item x="4"/>
        <item x="0"/>
        <item x="6"/>
        <item t="default"/>
      </items>
    </pivotField>
    <pivotField showAll="0"/>
    <pivotField axis="axisPage" showAll="0">
      <items count="14">
        <item x="1"/>
        <item x="5"/>
        <item x="6"/>
        <item x="4"/>
        <item x="10"/>
        <item x="8"/>
        <item x="7"/>
        <item x="9"/>
        <item x="0"/>
        <item x="2"/>
        <item x="3"/>
        <item x="11"/>
        <item x="12"/>
        <item t="default"/>
      </items>
    </pivotField>
    <pivotField dataField="1" showAll="0"/>
  </pivotFields>
  <rowFields count="1">
    <field x="3"/>
  </rowFields>
  <rowItems count="3">
    <i>
      <x/>
    </i>
    <i>
      <x v="5"/>
    </i>
    <i t="grand">
      <x/>
    </i>
  </rowItems>
  <colFields count="1">
    <field x="0"/>
  </colFields>
  <colItems count="5">
    <i>
      <x v="3"/>
    </i>
    <i>
      <x v="5"/>
    </i>
    <i>
      <x v="6"/>
    </i>
    <i>
      <x v="7"/>
    </i>
    <i t="grand">
      <x/>
    </i>
  </colItems>
  <pageFields count="1">
    <pageField fld="5" item="3" hier="-1"/>
  </pageFields>
  <dataFields count="1">
    <dataField name="Sum of Price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26F91F-37BB-447F-9B57-17FEC157E80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 firstHeaderRow="1" firstDataRow="2" firstDataCol="1" rowPageCount="1" colPageCount="1"/>
  <pivotFields count="7">
    <pivotField axis="axisCol" showAll="0">
      <items count="12">
        <item x="9"/>
        <item x="0"/>
        <item x="8"/>
        <item x="5"/>
        <item x="2"/>
        <item x="6"/>
        <item x="7"/>
        <item x="4"/>
        <item x="1"/>
        <item x="3"/>
        <item x="10"/>
        <item t="default"/>
      </items>
    </pivotField>
    <pivotField showAll="0"/>
    <pivotField showAll="0"/>
    <pivotField axis="axisRow" showAll="0">
      <items count="8">
        <item x="3"/>
        <item x="2"/>
        <item x="5"/>
        <item x="1"/>
        <item x="4"/>
        <item x="0"/>
        <item x="6"/>
        <item t="default"/>
      </items>
    </pivotField>
    <pivotField showAll="0"/>
    <pivotField axis="axisPage" showAll="0">
      <items count="14">
        <item x="1"/>
        <item x="5"/>
        <item x="6"/>
        <item x="4"/>
        <item x="10"/>
        <item x="8"/>
        <item x="7"/>
        <item x="9"/>
        <item x="0"/>
        <item x="2"/>
        <item x="3"/>
        <item x="11"/>
        <item x="12"/>
        <item t="default"/>
      </items>
    </pivotField>
    <pivotField dataField="1" showAll="0"/>
  </pivotFields>
  <rowFields count="1">
    <field x="3"/>
  </rowFields>
  <rowItems count="2">
    <i>
      <x v="5"/>
    </i>
    <i t="grand">
      <x/>
    </i>
  </rowItems>
  <colFields count="1">
    <field x="0"/>
  </colFields>
  <colItems count="3">
    <i>
      <x v="1"/>
    </i>
    <i>
      <x v="5"/>
    </i>
    <i t="grand">
      <x/>
    </i>
  </colItems>
  <pageFields count="1">
    <pageField fld="5" item="4" hier="-1"/>
  </pageFields>
  <dataFields count="1">
    <dataField name="Sum of Price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26F91F-37BB-447F-9B57-17FEC157E80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 firstHeaderRow="1" firstDataRow="2" firstDataCol="1" rowPageCount="1" colPageCount="1"/>
  <pivotFields count="7">
    <pivotField axis="axisCol" showAll="0">
      <items count="12">
        <item x="9"/>
        <item x="0"/>
        <item x="8"/>
        <item x="5"/>
        <item x="2"/>
        <item x="6"/>
        <item x="7"/>
        <item x="4"/>
        <item x="1"/>
        <item x="3"/>
        <item x="10"/>
        <item t="default"/>
      </items>
    </pivotField>
    <pivotField showAll="0"/>
    <pivotField showAll="0"/>
    <pivotField axis="axisRow" showAll="0">
      <items count="8">
        <item x="3"/>
        <item x="2"/>
        <item x="5"/>
        <item x="1"/>
        <item x="4"/>
        <item x="0"/>
        <item x="6"/>
        <item t="default"/>
      </items>
    </pivotField>
    <pivotField showAll="0"/>
    <pivotField axis="axisPage" showAll="0">
      <items count="14">
        <item x="1"/>
        <item x="5"/>
        <item x="6"/>
        <item x="4"/>
        <item x="10"/>
        <item x="8"/>
        <item x="7"/>
        <item x="9"/>
        <item x="0"/>
        <item x="2"/>
        <item x="3"/>
        <item x="11"/>
        <item x="12"/>
        <item t="default"/>
      </items>
    </pivotField>
    <pivotField dataField="1" showAll="0"/>
  </pivotFields>
  <rowFields count="1">
    <field x="3"/>
  </rowFields>
  <rowItems count="2">
    <i>
      <x v="5"/>
    </i>
    <i t="grand">
      <x/>
    </i>
  </rowItems>
  <colFields count="1">
    <field x="0"/>
  </colFields>
  <colItems count="3">
    <i>
      <x v="4"/>
    </i>
    <i>
      <x v="5"/>
    </i>
    <i t="grand">
      <x/>
    </i>
  </colItems>
  <pageFields count="1">
    <pageField fld="5" item="5" hier="-1"/>
  </pageFields>
  <dataFields count="1">
    <dataField name="Sum of Price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26F91F-37BB-447F-9B57-17FEC157E80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1" firstDataRow="2" firstDataCol="1" rowPageCount="1" colPageCount="1"/>
  <pivotFields count="7">
    <pivotField axis="axisCol" showAll="0">
      <items count="12">
        <item x="9"/>
        <item x="0"/>
        <item x="8"/>
        <item x="5"/>
        <item x="2"/>
        <item x="6"/>
        <item x="7"/>
        <item x="4"/>
        <item x="1"/>
        <item x="3"/>
        <item x="10"/>
        <item t="default"/>
      </items>
    </pivotField>
    <pivotField showAll="0"/>
    <pivotField showAll="0"/>
    <pivotField axis="axisRow" showAll="0">
      <items count="8">
        <item x="3"/>
        <item x="2"/>
        <item x="5"/>
        <item x="1"/>
        <item x="4"/>
        <item x="0"/>
        <item x="6"/>
        <item t="default"/>
      </items>
    </pivotField>
    <pivotField showAll="0"/>
    <pivotField axis="axisPage" showAll="0">
      <items count="14">
        <item x="1"/>
        <item x="5"/>
        <item x="6"/>
        <item x="4"/>
        <item x="10"/>
        <item x="8"/>
        <item x="7"/>
        <item x="9"/>
        <item x="0"/>
        <item x="2"/>
        <item x="3"/>
        <item x="11"/>
        <item x="12"/>
        <item t="default"/>
      </items>
    </pivotField>
    <pivotField dataField="1" showAll="0"/>
  </pivotFields>
  <rowFields count="1">
    <field x="3"/>
  </rowFields>
  <rowItems count="2">
    <i>
      <x v="3"/>
    </i>
    <i t="grand">
      <x/>
    </i>
  </rowItems>
  <colFields count="1">
    <field x="0"/>
  </colFields>
  <colItems count="2">
    <i>
      <x v="8"/>
    </i>
    <i t="grand">
      <x/>
    </i>
  </colItems>
  <pageFields count="1">
    <pageField fld="5" item="6" hier="-1"/>
  </pageFields>
  <dataFields count="1">
    <dataField name="Sum of Price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26F91F-37BB-447F-9B57-17FEC157E80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2" firstDataCol="1" rowPageCount="1" colPageCount="1"/>
  <pivotFields count="7">
    <pivotField axis="axisCol" showAll="0">
      <items count="12">
        <item x="9"/>
        <item x="0"/>
        <item x="8"/>
        <item x="5"/>
        <item x="2"/>
        <item x="6"/>
        <item x="7"/>
        <item x="4"/>
        <item x="1"/>
        <item x="3"/>
        <item x="10"/>
        <item t="default"/>
      </items>
    </pivotField>
    <pivotField showAll="0"/>
    <pivotField showAll="0"/>
    <pivotField axis="axisRow" showAll="0">
      <items count="8">
        <item x="3"/>
        <item x="2"/>
        <item x="5"/>
        <item x="1"/>
        <item x="4"/>
        <item x="0"/>
        <item x="6"/>
        <item t="default"/>
      </items>
    </pivotField>
    <pivotField showAll="0"/>
    <pivotField axis="axisPage" showAll="0">
      <items count="14">
        <item x="1"/>
        <item x="5"/>
        <item x="6"/>
        <item x="4"/>
        <item x="10"/>
        <item x="8"/>
        <item x="7"/>
        <item x="9"/>
        <item x="0"/>
        <item x="2"/>
        <item x="3"/>
        <item x="11"/>
        <item x="12"/>
        <item t="default"/>
      </items>
    </pivotField>
    <pivotField dataField="1" showAll="0"/>
  </pivotFields>
  <rowFields count="1">
    <field x="3"/>
  </rowFields>
  <rowItems count="4">
    <i>
      <x v="1"/>
    </i>
    <i>
      <x v="2"/>
    </i>
    <i>
      <x v="3"/>
    </i>
    <i t="grand">
      <x/>
    </i>
  </rowItems>
  <colFields count="1">
    <field x="0"/>
  </colFields>
  <colItems count="3">
    <i>
      <x v="8"/>
    </i>
    <i>
      <x v="9"/>
    </i>
    <i t="grand">
      <x/>
    </i>
  </colItems>
  <pageFields count="1">
    <pageField fld="5" item="7" hier="-1"/>
  </pageFields>
  <dataFields count="1">
    <dataField name="Sum of Price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326F91F-37BB-447F-9B57-17FEC157E80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1" firstDataRow="2" firstDataCol="1" rowPageCount="1" colPageCount="1"/>
  <pivotFields count="7">
    <pivotField axis="axisCol" showAll="0">
      <items count="12">
        <item x="9"/>
        <item x="0"/>
        <item x="8"/>
        <item x="5"/>
        <item x="2"/>
        <item x="6"/>
        <item x="7"/>
        <item x="4"/>
        <item x="1"/>
        <item x="3"/>
        <item x="10"/>
        <item t="default"/>
      </items>
    </pivotField>
    <pivotField showAll="0"/>
    <pivotField showAll="0"/>
    <pivotField axis="axisRow" showAll="0">
      <items count="8">
        <item x="3"/>
        <item x="2"/>
        <item x="5"/>
        <item x="1"/>
        <item x="4"/>
        <item x="0"/>
        <item x="6"/>
        <item t="default"/>
      </items>
    </pivotField>
    <pivotField showAll="0"/>
    <pivotField axis="axisPage" showAll="0">
      <items count="14">
        <item x="1"/>
        <item x="5"/>
        <item x="6"/>
        <item x="4"/>
        <item x="10"/>
        <item x="8"/>
        <item x="7"/>
        <item x="9"/>
        <item x="0"/>
        <item x="2"/>
        <item x="3"/>
        <item x="11"/>
        <item x="12"/>
        <item t="default"/>
      </items>
    </pivotField>
    <pivotField dataField="1" showAll="0"/>
  </pivotFields>
  <rowFields count="1">
    <field x="3"/>
  </rowFields>
  <rowItems count="2">
    <i>
      <x v="5"/>
    </i>
    <i t="grand">
      <x/>
    </i>
  </rowItems>
  <colFields count="1">
    <field x="0"/>
  </colFields>
  <colItems count="2">
    <i>
      <x v="1"/>
    </i>
    <i t="grand">
      <x/>
    </i>
  </colItems>
  <pageFields count="1">
    <pageField fld="5" item="8" hier="-1"/>
  </pageFields>
  <dataFields count="1">
    <dataField name="Sum of Price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326F91F-37BB-447F-9B57-17FEC157E80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1" firstDataRow="2" firstDataCol="1" rowPageCount="1" colPageCount="1"/>
  <pivotFields count="7">
    <pivotField axis="axisCol" showAll="0">
      <items count="12">
        <item x="9"/>
        <item x="0"/>
        <item x="8"/>
        <item x="5"/>
        <item x="2"/>
        <item x="6"/>
        <item x="7"/>
        <item x="4"/>
        <item x="1"/>
        <item x="3"/>
        <item x="10"/>
        <item t="default"/>
      </items>
    </pivotField>
    <pivotField showAll="0"/>
    <pivotField showAll="0"/>
    <pivotField axis="axisRow" showAll="0">
      <items count="8">
        <item x="3"/>
        <item x="2"/>
        <item x="5"/>
        <item x="1"/>
        <item x="4"/>
        <item x="0"/>
        <item x="6"/>
        <item t="default"/>
      </items>
    </pivotField>
    <pivotField showAll="0"/>
    <pivotField axis="axisPage" showAll="0">
      <items count="14">
        <item x="1"/>
        <item x="5"/>
        <item x="6"/>
        <item x="4"/>
        <item x="10"/>
        <item x="8"/>
        <item x="7"/>
        <item x="9"/>
        <item x="0"/>
        <item x="2"/>
        <item x="3"/>
        <item x="11"/>
        <item x="12"/>
        <item t="default"/>
      </items>
    </pivotField>
    <pivotField dataField="1" showAll="0"/>
  </pivotFields>
  <rowFields count="1">
    <field x="3"/>
  </rowFields>
  <rowItems count="2">
    <i>
      <x v="5"/>
    </i>
    <i t="grand">
      <x/>
    </i>
  </rowItems>
  <colFields count="1">
    <field x="0"/>
  </colFields>
  <colItems count="4">
    <i>
      <x v="1"/>
    </i>
    <i>
      <x v="4"/>
    </i>
    <i>
      <x v="7"/>
    </i>
    <i t="grand">
      <x/>
    </i>
  </colItems>
  <pageFields count="1">
    <pageField fld="5" item="9" hier="-1"/>
  </pageFields>
  <dataFields count="1">
    <dataField name="Sum of Price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326F91F-37BB-447F-9B57-17FEC157E80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1" firstDataRow="2" firstDataCol="1" rowPageCount="1" colPageCount="1"/>
  <pivotFields count="7">
    <pivotField axis="axisCol" showAll="0">
      <items count="12">
        <item x="9"/>
        <item x="0"/>
        <item x="8"/>
        <item x="5"/>
        <item x="2"/>
        <item x="6"/>
        <item x="7"/>
        <item x="4"/>
        <item x="1"/>
        <item x="3"/>
        <item x="10"/>
        <item t="default"/>
      </items>
    </pivotField>
    <pivotField showAll="0"/>
    <pivotField showAll="0"/>
    <pivotField axis="axisRow" showAll="0">
      <items count="8">
        <item x="3"/>
        <item x="2"/>
        <item x="5"/>
        <item x="1"/>
        <item x="4"/>
        <item x="0"/>
        <item x="6"/>
        <item t="default"/>
      </items>
    </pivotField>
    <pivotField showAll="0"/>
    <pivotField axis="axisPage" showAll="0">
      <items count="14">
        <item x="1"/>
        <item x="5"/>
        <item x="6"/>
        <item x="4"/>
        <item x="10"/>
        <item x="8"/>
        <item x="7"/>
        <item x="9"/>
        <item x="0"/>
        <item x="2"/>
        <item x="3"/>
        <item x="11"/>
        <item x="12"/>
        <item t="default"/>
      </items>
    </pivotField>
    <pivotField dataField="1" showAll="0"/>
  </pivotFields>
  <rowFields count="1">
    <field x="3"/>
  </rowFields>
  <rowItems count="3">
    <i>
      <x v="1"/>
    </i>
    <i>
      <x v="5"/>
    </i>
    <i t="grand">
      <x/>
    </i>
  </rowItems>
  <colFields count="1">
    <field x="0"/>
  </colFields>
  <colItems count="3">
    <i>
      <x v="7"/>
    </i>
    <i>
      <x v="9"/>
    </i>
    <i t="grand">
      <x/>
    </i>
  </colItems>
  <pageFields count="1">
    <pageField fld="5" item="10" hier="-1"/>
  </pageFields>
  <dataFields count="1">
    <dataField name="Sum of Price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326F91F-37BB-447F-9B57-17FEC157E80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1" firstDataRow="2" firstDataCol="1" rowPageCount="1" colPageCount="1"/>
  <pivotFields count="7">
    <pivotField axis="axisCol" showAll="0">
      <items count="12">
        <item x="9"/>
        <item x="0"/>
        <item x="8"/>
        <item x="5"/>
        <item x="2"/>
        <item x="6"/>
        <item x="7"/>
        <item x="4"/>
        <item x="1"/>
        <item x="3"/>
        <item x="10"/>
        <item t="default"/>
      </items>
    </pivotField>
    <pivotField showAll="0"/>
    <pivotField showAll="0"/>
    <pivotField axis="axisRow" showAll="0">
      <items count="8">
        <item x="3"/>
        <item x="2"/>
        <item x="5"/>
        <item x="1"/>
        <item x="4"/>
        <item x="0"/>
        <item x="6"/>
        <item t="default"/>
      </items>
    </pivotField>
    <pivotField showAll="0"/>
    <pivotField axis="axisPage" showAll="0">
      <items count="14">
        <item x="1"/>
        <item x="5"/>
        <item x="6"/>
        <item x="4"/>
        <item x="10"/>
        <item x="8"/>
        <item x="7"/>
        <item x="9"/>
        <item x="0"/>
        <item x="2"/>
        <item x="3"/>
        <item x="11"/>
        <item x="12"/>
        <item t="default"/>
      </items>
    </pivotField>
    <pivotField dataField="1" showAll="0"/>
  </pivotFields>
  <rowFields count="1">
    <field x="3"/>
  </rowFields>
  <rowItems count="2">
    <i>
      <x/>
    </i>
    <i t="grand">
      <x/>
    </i>
  </rowItems>
  <colFields count="1">
    <field x="0"/>
  </colFields>
  <colItems count="2">
    <i>
      <x v="3"/>
    </i>
    <i t="grand">
      <x/>
    </i>
  </colItems>
  <pageFields count="1">
    <pageField fld="5" item="11" hier="-1"/>
  </pageFields>
  <dataFields count="1">
    <dataField name="Sum of Price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326F91F-37BB-447F-9B57-17FEC157E80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1" firstDataRow="2" firstDataCol="1" rowPageCount="1" colPageCount="1"/>
  <pivotFields count="7">
    <pivotField axis="axisCol" showAll="0">
      <items count="12">
        <item x="9"/>
        <item x="0"/>
        <item x="8"/>
        <item x="5"/>
        <item x="2"/>
        <item x="6"/>
        <item x="7"/>
        <item x="4"/>
        <item x="1"/>
        <item x="3"/>
        <item x="10"/>
        <item t="default"/>
      </items>
    </pivotField>
    <pivotField showAll="0"/>
    <pivotField showAll="0"/>
    <pivotField axis="axisRow" showAll="0">
      <items count="8">
        <item x="3"/>
        <item x="2"/>
        <item x="5"/>
        <item x="1"/>
        <item x="4"/>
        <item x="0"/>
        <item x="6"/>
        <item t="default"/>
      </items>
    </pivotField>
    <pivotField showAll="0"/>
    <pivotField axis="axisPage" showAll="0">
      <items count="14">
        <item x="1"/>
        <item x="5"/>
        <item x="6"/>
        <item x="4"/>
        <item x="10"/>
        <item x="8"/>
        <item x="7"/>
        <item x="9"/>
        <item x="0"/>
        <item x="2"/>
        <item x="3"/>
        <item x="11"/>
        <item x="12"/>
        <item t="default"/>
      </items>
    </pivotField>
    <pivotField dataField="1" showAll="0"/>
  </pivotFields>
  <rowFields count="1">
    <field x="3"/>
  </rowFields>
  <rowItems count="2">
    <i>
      <x v="6"/>
    </i>
    <i t="grand">
      <x/>
    </i>
  </rowItems>
  <colFields count="1">
    <field x="0"/>
  </colFields>
  <colItems count="2">
    <i>
      <x v="10"/>
    </i>
    <i t="grand">
      <x/>
    </i>
  </colItems>
  <pageFields count="1">
    <pageField fld="5" item="12" hier="-1"/>
  </pageFields>
  <dataFields count="1">
    <dataField name="Sum of Price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326F91F-37BB-447F-9B57-17FEC157E80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M12" firstHeaderRow="1" firstDataRow="2" firstDataCol="1" rowPageCount="1" colPageCount="1"/>
  <pivotFields count="7">
    <pivotField axis="axisCol" showAll="0">
      <items count="12">
        <item x="9"/>
        <item x="0"/>
        <item x="8"/>
        <item x="5"/>
        <item x="2"/>
        <item x="6"/>
        <item x="7"/>
        <item x="4"/>
        <item x="1"/>
        <item x="3"/>
        <item x="10"/>
        <item t="default"/>
      </items>
    </pivotField>
    <pivotField showAll="0"/>
    <pivotField showAll="0"/>
    <pivotField axis="axisRow" showAll="0">
      <items count="8">
        <item x="3"/>
        <item x="2"/>
        <item x="5"/>
        <item x="1"/>
        <item x="4"/>
        <item x="0"/>
        <item x="6"/>
        <item t="default"/>
      </items>
    </pivotField>
    <pivotField showAll="0"/>
    <pivotField axis="axisPage" showAll="0">
      <items count="14">
        <item x="1"/>
        <item x="5"/>
        <item x="6"/>
        <item x="4"/>
        <item x="10"/>
        <item x="8"/>
        <item x="7"/>
        <item x="9"/>
        <item x="0"/>
        <item x="2"/>
        <item x="3"/>
        <item x="11"/>
        <item x="12"/>
        <item t="default"/>
      </items>
    </pivotField>
    <pivotField dataField="1" showAll="0"/>
  </pivotFields>
  <rowFields count="1">
    <field x="3"/>
  </rowFields>
  <rowItems count="8">
    <i>
      <x/>
    </i>
    <i>
      <x v="1"/>
    </i>
    <i>
      <x v="2"/>
    </i>
    <i>
      <x v="3"/>
    </i>
    <i>
      <x v="4"/>
    </i>
    <i>
      <x v="5"/>
    </i>
    <i>
      <x v="6"/>
    </i>
    <i t="grand">
      <x/>
    </i>
  </rowItems>
  <colFields count="1">
    <field x="0"/>
  </colFields>
  <colItems count="12">
    <i>
      <x/>
    </i>
    <i>
      <x v="1"/>
    </i>
    <i>
      <x v="2"/>
    </i>
    <i>
      <x v="3"/>
    </i>
    <i>
      <x v="4"/>
    </i>
    <i>
      <x v="5"/>
    </i>
    <i>
      <x v="6"/>
    </i>
    <i>
      <x v="7"/>
    </i>
    <i>
      <x v="8"/>
    </i>
    <i>
      <x v="9"/>
    </i>
    <i>
      <x v="10"/>
    </i>
    <i t="grand">
      <x/>
    </i>
  </colItems>
  <pageFields count="1">
    <pageField fld="5" hier="-1"/>
  </pageFields>
  <dataFields count="1">
    <dataField name="Sum of Price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B0898DC-0B56-4805-9E63-2E0BDA2666C9}"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2:B52" firstHeaderRow="1" firstDataRow="1" firstDataCol="1"/>
  <pivotFields count="7">
    <pivotField showAll="0"/>
    <pivotField showAll="0">
      <items count="30">
        <item x="15"/>
        <item x="27"/>
        <item x="24"/>
        <item x="1"/>
        <item x="17"/>
        <item x="20"/>
        <item x="0"/>
        <item x="25"/>
        <item x="10"/>
        <item x="21"/>
        <item x="11"/>
        <item x="16"/>
        <item x="2"/>
        <item x="12"/>
        <item x="3"/>
        <item x="9"/>
        <item x="8"/>
        <item x="6"/>
        <item x="4"/>
        <item x="19"/>
        <item x="7"/>
        <item x="26"/>
        <item x="23"/>
        <item x="22"/>
        <item x="14"/>
        <item x="13"/>
        <item x="5"/>
        <item x="18"/>
        <item x="28"/>
        <item t="default"/>
      </items>
    </pivotField>
    <pivotField axis="axisRow" showAll="0">
      <items count="30">
        <item x="18"/>
        <item x="3"/>
        <item x="5"/>
        <item x="17"/>
        <item x="13"/>
        <item x="22"/>
        <item x="0"/>
        <item x="16"/>
        <item x="2"/>
        <item x="26"/>
        <item x="25"/>
        <item x="11"/>
        <item x="27"/>
        <item x="12"/>
        <item x="9"/>
        <item x="21"/>
        <item x="4"/>
        <item x="15"/>
        <item x="19"/>
        <item x="10"/>
        <item x="23"/>
        <item x="1"/>
        <item x="14"/>
        <item x="20"/>
        <item x="24"/>
        <item x="7"/>
        <item x="6"/>
        <item x="8"/>
        <item x="28"/>
        <item t="default"/>
      </items>
    </pivotField>
    <pivotField showAll="0"/>
    <pivotField showAll="0"/>
    <pivotField showAll="0">
      <items count="14">
        <item x="1"/>
        <item x="5"/>
        <item x="6"/>
        <item x="4"/>
        <item x="10"/>
        <item x="8"/>
        <item x="7"/>
        <item x="9"/>
        <item x="0"/>
        <item x="2"/>
        <item x="3"/>
        <item x="11"/>
        <item x="12"/>
        <item t="default"/>
      </items>
    </pivotField>
    <pivotField dataField="1" showAll="0"/>
  </pivotFields>
  <rowFields count="1">
    <field x="2"/>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Price (USD)" fld="6" baseField="0" baseItem="0"/>
  </dataFields>
  <chartFormats count="3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0" format="9">
      <pivotArea type="data" outline="0" fieldPosition="0">
        <references count="2">
          <reference field="4294967294" count="1" selected="0">
            <x v="0"/>
          </reference>
          <reference field="2" count="1" selected="0">
            <x v="8"/>
          </reference>
        </references>
      </pivotArea>
    </chartFormat>
    <chartFormat chart="0" format="10">
      <pivotArea type="data" outline="0" fieldPosition="0">
        <references count="2">
          <reference field="4294967294" count="1" selected="0">
            <x v="0"/>
          </reference>
          <reference field="2" count="1" selected="0">
            <x v="9"/>
          </reference>
        </references>
      </pivotArea>
    </chartFormat>
    <chartFormat chart="0" format="11">
      <pivotArea type="data" outline="0" fieldPosition="0">
        <references count="2">
          <reference field="4294967294" count="1" selected="0">
            <x v="0"/>
          </reference>
          <reference field="2" count="1" selected="0">
            <x v="10"/>
          </reference>
        </references>
      </pivotArea>
    </chartFormat>
    <chartFormat chart="0" format="12">
      <pivotArea type="data" outline="0" fieldPosition="0">
        <references count="2">
          <reference field="4294967294" count="1" selected="0">
            <x v="0"/>
          </reference>
          <reference field="2" count="1" selected="0">
            <x v="11"/>
          </reference>
        </references>
      </pivotArea>
    </chartFormat>
    <chartFormat chart="0" format="13">
      <pivotArea type="data" outline="0" fieldPosition="0">
        <references count="2">
          <reference field="4294967294" count="1" selected="0">
            <x v="0"/>
          </reference>
          <reference field="2" count="1" selected="0">
            <x v="12"/>
          </reference>
        </references>
      </pivotArea>
    </chartFormat>
    <chartFormat chart="0" format="14">
      <pivotArea type="data" outline="0" fieldPosition="0">
        <references count="2">
          <reference field="4294967294" count="1" selected="0">
            <x v="0"/>
          </reference>
          <reference field="2" count="1" selected="0">
            <x v="13"/>
          </reference>
        </references>
      </pivotArea>
    </chartFormat>
    <chartFormat chart="0" format="15">
      <pivotArea type="data" outline="0" fieldPosition="0">
        <references count="2">
          <reference field="4294967294" count="1" selected="0">
            <x v="0"/>
          </reference>
          <reference field="2" count="1" selected="0">
            <x v="14"/>
          </reference>
        </references>
      </pivotArea>
    </chartFormat>
    <chartFormat chart="0" format="16">
      <pivotArea type="data" outline="0" fieldPosition="0">
        <references count="2">
          <reference field="4294967294" count="1" selected="0">
            <x v="0"/>
          </reference>
          <reference field="2" count="1" selected="0">
            <x v="15"/>
          </reference>
        </references>
      </pivotArea>
    </chartFormat>
    <chartFormat chart="0" format="17">
      <pivotArea type="data" outline="0" fieldPosition="0">
        <references count="2">
          <reference field="4294967294" count="1" selected="0">
            <x v="0"/>
          </reference>
          <reference field="2" count="1" selected="0">
            <x v="16"/>
          </reference>
        </references>
      </pivotArea>
    </chartFormat>
    <chartFormat chart="0" format="18">
      <pivotArea type="data" outline="0" fieldPosition="0">
        <references count="2">
          <reference field="4294967294" count="1" selected="0">
            <x v="0"/>
          </reference>
          <reference field="2" count="1" selected="0">
            <x v="17"/>
          </reference>
        </references>
      </pivotArea>
    </chartFormat>
    <chartFormat chart="0" format="19">
      <pivotArea type="data" outline="0" fieldPosition="0">
        <references count="2">
          <reference field="4294967294" count="1" selected="0">
            <x v="0"/>
          </reference>
          <reference field="2" count="1" selected="0">
            <x v="18"/>
          </reference>
        </references>
      </pivotArea>
    </chartFormat>
    <chartFormat chart="0" format="20">
      <pivotArea type="data" outline="0" fieldPosition="0">
        <references count="2">
          <reference field="4294967294" count="1" selected="0">
            <x v="0"/>
          </reference>
          <reference field="2" count="1" selected="0">
            <x v="19"/>
          </reference>
        </references>
      </pivotArea>
    </chartFormat>
    <chartFormat chart="0" format="21">
      <pivotArea type="data" outline="0" fieldPosition="0">
        <references count="2">
          <reference field="4294967294" count="1" selected="0">
            <x v="0"/>
          </reference>
          <reference field="2" count="1" selected="0">
            <x v="20"/>
          </reference>
        </references>
      </pivotArea>
    </chartFormat>
    <chartFormat chart="0" format="22">
      <pivotArea type="data" outline="0" fieldPosition="0">
        <references count="2">
          <reference field="4294967294" count="1" selected="0">
            <x v="0"/>
          </reference>
          <reference field="2" count="1" selected="0">
            <x v="21"/>
          </reference>
        </references>
      </pivotArea>
    </chartFormat>
    <chartFormat chart="0" format="23">
      <pivotArea type="data" outline="0" fieldPosition="0">
        <references count="2">
          <reference field="4294967294" count="1" selected="0">
            <x v="0"/>
          </reference>
          <reference field="2" count="1" selected="0">
            <x v="22"/>
          </reference>
        </references>
      </pivotArea>
    </chartFormat>
    <chartFormat chart="0" format="24">
      <pivotArea type="data" outline="0" fieldPosition="0">
        <references count="2">
          <reference field="4294967294" count="1" selected="0">
            <x v="0"/>
          </reference>
          <reference field="2" count="1" selected="0">
            <x v="23"/>
          </reference>
        </references>
      </pivotArea>
    </chartFormat>
    <chartFormat chart="0" format="25">
      <pivotArea type="data" outline="0" fieldPosition="0">
        <references count="2">
          <reference field="4294967294" count="1" selected="0">
            <x v="0"/>
          </reference>
          <reference field="2" count="1" selected="0">
            <x v="24"/>
          </reference>
        </references>
      </pivotArea>
    </chartFormat>
    <chartFormat chart="0" format="26">
      <pivotArea type="data" outline="0" fieldPosition="0">
        <references count="2">
          <reference field="4294967294" count="1" selected="0">
            <x v="0"/>
          </reference>
          <reference field="2" count="1" selected="0">
            <x v="25"/>
          </reference>
        </references>
      </pivotArea>
    </chartFormat>
    <chartFormat chart="0" format="27">
      <pivotArea type="data" outline="0" fieldPosition="0">
        <references count="2">
          <reference field="4294967294" count="1" selected="0">
            <x v="0"/>
          </reference>
          <reference field="2" count="1" selected="0">
            <x v="26"/>
          </reference>
        </references>
      </pivotArea>
    </chartFormat>
    <chartFormat chart="0" format="28">
      <pivotArea type="data" outline="0" fieldPosition="0">
        <references count="2">
          <reference field="4294967294" count="1" selected="0">
            <x v="0"/>
          </reference>
          <reference field="2" count="1" selected="0">
            <x v="27"/>
          </reference>
        </references>
      </pivotArea>
    </chartFormat>
    <chartFormat chart="0" format="29">
      <pivotArea type="data" outline="0" fieldPosition="0">
        <references count="2">
          <reference field="4294967294" count="1" selected="0">
            <x v="0"/>
          </reference>
          <reference field="2" count="1" selected="0">
            <x v="2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B052A50-2C79-4DFE-B8B2-CA3DFF8E70CF}"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5" firstHeaderRow="1" firstDataRow="1" firstDataCol="1"/>
  <pivotFields count="7">
    <pivotField axis="axisRow" showAll="0">
      <items count="12">
        <item x="9"/>
        <item x="0"/>
        <item x="8"/>
        <item x="5"/>
        <item x="2"/>
        <item x="6"/>
        <item x="7"/>
        <item x="4"/>
        <item x="1"/>
        <item x="3"/>
        <item x="10"/>
        <item t="default"/>
      </items>
    </pivotField>
    <pivotField showAll="0">
      <items count="30">
        <item x="15"/>
        <item x="27"/>
        <item x="24"/>
        <item x="1"/>
        <item x="17"/>
        <item x="20"/>
        <item x="0"/>
        <item x="25"/>
        <item x="10"/>
        <item x="21"/>
        <item x="11"/>
        <item x="16"/>
        <item x="2"/>
        <item x="12"/>
        <item x="3"/>
        <item x="9"/>
        <item x="8"/>
        <item x="6"/>
        <item x="4"/>
        <item x="19"/>
        <item x="7"/>
        <item x="26"/>
        <item x="23"/>
        <item x="22"/>
        <item x="14"/>
        <item x="13"/>
        <item x="5"/>
        <item x="18"/>
        <item x="28"/>
        <item t="default"/>
      </items>
    </pivotField>
    <pivotField showAll="0"/>
    <pivotField showAll="0">
      <items count="8">
        <item x="3"/>
        <item x="2"/>
        <item x="5"/>
        <item x="1"/>
        <item x="4"/>
        <item x="0"/>
        <item x="6"/>
        <item t="default"/>
      </items>
    </pivotField>
    <pivotField showAll="0"/>
    <pivotField showAll="0">
      <items count="14">
        <item x="1"/>
        <item x="5"/>
        <item x="6"/>
        <item x="4"/>
        <item x="10"/>
        <item x="8"/>
        <item x="7"/>
        <item x="9"/>
        <item x="0"/>
        <item x="2"/>
        <item x="3"/>
        <item x="11"/>
        <item x="12"/>
        <item t="default"/>
      </items>
    </pivotField>
    <pivotField dataField="1" showAll="0"/>
  </pivotFields>
  <rowFields count="1">
    <field x="0"/>
  </rowFields>
  <rowItems count="12">
    <i>
      <x/>
    </i>
    <i>
      <x v="1"/>
    </i>
    <i>
      <x v="2"/>
    </i>
    <i>
      <x v="3"/>
    </i>
    <i>
      <x v="4"/>
    </i>
    <i>
      <x v="5"/>
    </i>
    <i>
      <x v="6"/>
    </i>
    <i>
      <x v="7"/>
    </i>
    <i>
      <x v="8"/>
    </i>
    <i>
      <x v="9"/>
    </i>
    <i>
      <x v="10"/>
    </i>
    <i t="grand">
      <x/>
    </i>
  </rowItems>
  <colItems count="1">
    <i/>
  </colItems>
  <dataFields count="1">
    <dataField name="Sum of Price (USD)"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6C640D1-988A-40A2-A9F2-7E2D357104D6}" name="PivotTable1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4" firstHeaderRow="1" firstDataRow="1" firstDataCol="1"/>
  <pivotFields count="7">
    <pivotField axis="axisRow" showAll="0">
      <items count="12">
        <item x="9"/>
        <item x="0"/>
        <item x="8"/>
        <item x="5"/>
        <item x="2"/>
        <item x="6"/>
        <item x="7"/>
        <item x="4"/>
        <item x="1"/>
        <item x="3"/>
        <item x="10"/>
        <item t="default"/>
      </items>
    </pivotField>
    <pivotField showAll="0">
      <items count="30">
        <item x="15"/>
        <item x="27"/>
        <item x="24"/>
        <item x="1"/>
        <item x="17"/>
        <item x="20"/>
        <item x="0"/>
        <item x="25"/>
        <item x="10"/>
        <item x="21"/>
        <item x="11"/>
        <item x="16"/>
        <item x="2"/>
        <item x="12"/>
        <item x="3"/>
        <item x="9"/>
        <item x="8"/>
        <item x="6"/>
        <item x="4"/>
        <item x="19"/>
        <item x="7"/>
        <item x="26"/>
        <item x="23"/>
        <item x="22"/>
        <item x="14"/>
        <item x="13"/>
        <item x="5"/>
        <item x="18"/>
        <item x="28"/>
        <item t="default"/>
      </items>
    </pivotField>
    <pivotField showAll="0">
      <items count="30">
        <item x="18"/>
        <item x="3"/>
        <item x="5"/>
        <item x="17"/>
        <item x="13"/>
        <item x="22"/>
        <item x="0"/>
        <item x="16"/>
        <item x="2"/>
        <item x="26"/>
        <item x="25"/>
        <item x="11"/>
        <item x="27"/>
        <item x="12"/>
        <item x="9"/>
        <item x="21"/>
        <item x="4"/>
        <item x="15"/>
        <item x="19"/>
        <item x="10"/>
        <item x="23"/>
        <item x="1"/>
        <item x="14"/>
        <item x="20"/>
        <item x="24"/>
        <item x="7"/>
        <item x="6"/>
        <item x="8"/>
        <item x="28"/>
        <item t="default"/>
      </items>
    </pivotField>
    <pivotField showAll="0"/>
    <pivotField showAll="0">
      <items count="32">
        <item x="11"/>
        <item x="23"/>
        <item x="21"/>
        <item x="14"/>
        <item x="3"/>
        <item x="25"/>
        <item x="18"/>
        <item x="5"/>
        <item x="1"/>
        <item x="29"/>
        <item x="19"/>
        <item x="7"/>
        <item x="9"/>
        <item x="17"/>
        <item x="8"/>
        <item x="28"/>
        <item x="22"/>
        <item x="27"/>
        <item x="4"/>
        <item x="6"/>
        <item x="15"/>
        <item x="16"/>
        <item x="20"/>
        <item x="12"/>
        <item x="26"/>
        <item x="13"/>
        <item x="0"/>
        <item x="24"/>
        <item x="2"/>
        <item x="10"/>
        <item x="30"/>
        <item t="default"/>
      </items>
    </pivotField>
    <pivotField showAll="0"/>
    <pivotField dataField="1" showAll="0"/>
  </pivotFields>
  <rowFields count="1">
    <field x="0"/>
  </rowFields>
  <rowItems count="1">
    <i t="grand">
      <x/>
    </i>
  </rowItems>
  <colItems count="1">
    <i/>
  </colItems>
  <dataFields count="1">
    <dataField name="Sum of Price (USD)" fld="6" baseField="0" baseItem="0"/>
  </dataFields>
  <pivotTableStyleInfo name="PivotStyleLight16" showRowHeaders="1" showColHeaders="1" showRowStripes="0" showColStripes="0" showLastColumn="1"/>
  <filters count="1">
    <filter fld="4" type="dateBetween" evalOrder="-1" id="14" name="Date of Release">
      <autoFilter ref="A1">
        <filterColumn colId="0">
          <customFilters and="1">
            <customFilter operator="greaterThanOrEqual" val="44531"/>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16816F9-0035-403D-BC0D-81B4D3BAEFB1}" sourceName="Month">
  <pivotTables>
    <pivotTable tabId="5" name="PivotTable4"/>
  </pivotTables>
  <data>
    <tabular pivotCacheId="197823057">
      <items count="13">
        <i x="1" s="1"/>
        <i x="5" s="1"/>
        <i x="6" s="1"/>
        <i x="4" s="1"/>
        <i x="10" s="1"/>
        <i x="8" s="1"/>
        <i x="7" s="1"/>
        <i x="9" s="1"/>
        <i x="0" s="1"/>
        <i x="2" s="1"/>
        <i x="3" s="1"/>
        <i x="11"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of_Origin" xr10:uid="{B7CC78BA-C534-47FC-AA61-301B5FC0B6B1}" sourceName="Country of Origin">
  <pivotTables>
    <pivotTable tabId="5" name="PivotTable4"/>
  </pivotTables>
  <data>
    <tabular pivotCacheId="197823057">
      <items count="7">
        <i x="3" s="1"/>
        <i x="2" s="1"/>
        <i x="5" s="1"/>
        <i x="1" s="1"/>
        <i x="4" s="1"/>
        <i x="0"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121F20BC-6D82-4915-9B32-894AE60C608F}" sourceName="Month">
  <pivotTables>
    <pivotTable tabId="20" name="PivotTable15"/>
    <pivotTable tabId="20" name="PivotTable16"/>
  </pivotTables>
  <data>
    <tabular pivotCacheId="197823057">
      <items count="13">
        <i x="1" s="1"/>
        <i x="5" s="1"/>
        <i x="6" s="1"/>
        <i x="4" s="1"/>
        <i x="10" s="1"/>
        <i x="8" s="1"/>
        <i x="7" s="1"/>
        <i x="9" s="1"/>
        <i x="0" s="1"/>
        <i x="2" s="1"/>
        <i x="3" s="1"/>
        <i x="11" s="1"/>
        <i x="1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5D8916C-BA21-4F3A-86F1-DE02DC959932}" sourceName="Brand">
  <pivotTables>
    <pivotTable tabId="20" name="PivotTable15"/>
  </pivotTables>
  <data>
    <tabular pivotCacheId="197823057">
      <items count="11">
        <i x="9" s="1"/>
        <i x="0" s="1"/>
        <i x="8" s="1"/>
        <i x="5" s="1"/>
        <i x="2" s="1"/>
        <i x="6" s="1"/>
        <i x="7" s="1"/>
        <i x="4" s="1"/>
        <i x="1" s="1"/>
        <i x="3" s="1"/>
        <i x="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AE263E4-E8FE-4354-8E80-4CE64C3B1CE3}" cache="Slicer_Month" caption="Month" rowHeight="234950"/>
  <slicer name="Country of Origin" xr10:uid="{9A5DB404-6022-4AEC-88E4-3170C137D917}" cache="Slicer_Country_of_Origin" caption="Country of Origi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84F34F9-BCCE-4872-9FDB-38864E0FF7F5}" cache="Slicer_Month1" caption="Month" rowHeight="234950"/>
  <slicer name="Brand" xr10:uid="{3E66637C-7D03-4589-A8D3-2BE8251E979D}" cache="Slicer_Brand" caption="Bran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Release" xr10:uid="{CABD9133-D678-46EA-822B-38D77417D586}" sourceName="Date of Release">
  <pivotTables>
    <pivotTable tabId="21" name="PivotTable17"/>
  </pivotTables>
  <state minimalRefreshVersion="6" lastRefreshVersion="6" pivotCacheId="197823057" filterType="dateBetween">
    <selection startDate="2021-12-01T00:00:00" endDate="2021-12-31T00:00:00"/>
    <bounds startDate="2020-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Release" xr10:uid="{985F56B4-3CF5-4857-A0B0-823FD8AD3B91}" cache="NativeTimeline_Date_of_Release" caption="Date of Release" level="2" selectionLevel="2" scrollPosition="2021-06-06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20.xml"/><Relationship Id="rId1" Type="http://schemas.openxmlformats.org/officeDocument/2006/relationships/pivotTable" Target="../pivotTables/pivotTable19.xml"/><Relationship Id="rId4" Type="http://schemas.microsoft.com/office/2007/relationships/slicer" Target="../slicers/slicer2.xml"/></Relationships>
</file>

<file path=xl/worksheets/_rels/sheet20.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5.xml"/><Relationship Id="rId1"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96292-B776-476A-8EDB-6515D1A8E624}">
  <sheetPr>
    <tabColor theme="7"/>
  </sheetPr>
  <dimension ref="A1:I17"/>
  <sheetViews>
    <sheetView workbookViewId="0">
      <selection activeCell="A3" sqref="A3"/>
    </sheetView>
  </sheetViews>
  <sheetFormatPr defaultRowHeight="14.4" x14ac:dyDescent="0.3"/>
  <cols>
    <col min="1" max="1" width="17" bestFit="1" customWidth="1"/>
    <col min="2" max="2" width="16.109375" bestFit="1" customWidth="1"/>
    <col min="3" max="3" width="4.88671875" bestFit="1" customWidth="1"/>
    <col min="4" max="5" width="5" bestFit="1" customWidth="1"/>
    <col min="6" max="6" width="7.21875" bestFit="1" customWidth="1"/>
    <col min="7" max="7" width="9.109375" bestFit="1" customWidth="1"/>
    <col min="8" max="8" width="8.6640625" bestFit="1" customWidth="1"/>
    <col min="9" max="9" width="10.77734375" bestFit="1" customWidth="1"/>
    <col min="10" max="10" width="8.6640625" bestFit="1" customWidth="1"/>
    <col min="11" max="11" width="5.21875" bestFit="1" customWidth="1"/>
    <col min="12" max="12" width="10.77734375" bestFit="1" customWidth="1"/>
    <col min="13" max="13" width="9.5546875" bestFit="1" customWidth="1"/>
    <col min="14" max="14" width="9.33203125" bestFit="1" customWidth="1"/>
    <col min="15" max="15" width="10" bestFit="1" customWidth="1"/>
    <col min="16" max="16" width="4.21875" bestFit="1" customWidth="1"/>
    <col min="17" max="17" width="8.77734375" bestFit="1" customWidth="1"/>
    <col min="19" max="19" width="4.88671875" bestFit="1" customWidth="1"/>
    <col min="20" max="20" width="9.21875" bestFit="1" customWidth="1"/>
    <col min="21" max="21" width="11.5546875" bestFit="1" customWidth="1"/>
    <col min="22" max="22" width="5.33203125" bestFit="1" customWidth="1"/>
    <col min="23" max="23" width="7.6640625" bestFit="1" customWidth="1"/>
    <col min="24" max="24" width="7.33203125" bestFit="1" customWidth="1"/>
    <col min="25" max="25" width="8" bestFit="1" customWidth="1"/>
    <col min="26" max="26" width="9.21875" bestFit="1" customWidth="1"/>
    <col min="27" max="27" width="6.5546875" bestFit="1" customWidth="1"/>
    <col min="28" max="28" width="8.88671875" bestFit="1" customWidth="1"/>
    <col min="29" max="29" width="11.88671875" bestFit="1" customWidth="1"/>
    <col min="30" max="30" width="11.109375" bestFit="1" customWidth="1"/>
    <col min="31" max="31" width="5.21875" bestFit="1" customWidth="1"/>
    <col min="32" max="32" width="13.88671875" bestFit="1" customWidth="1"/>
    <col min="33" max="33" width="10.6640625" bestFit="1" customWidth="1"/>
    <col min="34" max="34" width="8" bestFit="1" customWidth="1"/>
    <col min="35" max="35" width="13.44140625" bestFit="1" customWidth="1"/>
    <col min="36" max="36" width="10.5546875" bestFit="1" customWidth="1"/>
    <col min="37" max="37" width="4" bestFit="1" customWidth="1"/>
    <col min="38" max="38" width="6.33203125" bestFit="1" customWidth="1"/>
    <col min="39" max="39" width="9.88671875" bestFit="1" customWidth="1"/>
    <col min="40" max="41" width="10.77734375" bestFit="1" customWidth="1"/>
  </cols>
  <sheetData>
    <row r="1" spans="1:9" x14ac:dyDescent="0.3">
      <c r="A1" s="4" t="s">
        <v>78</v>
      </c>
      <c r="B1" t="s">
        <v>79</v>
      </c>
    </row>
    <row r="3" spans="1:9" x14ac:dyDescent="0.3">
      <c r="A3" s="4" t="s">
        <v>77</v>
      </c>
      <c r="B3" s="4" t="s">
        <v>76</v>
      </c>
    </row>
    <row r="4" spans="1:9" x14ac:dyDescent="0.3">
      <c r="A4" s="4" t="s">
        <v>74</v>
      </c>
      <c r="B4" t="s">
        <v>36</v>
      </c>
      <c r="C4" t="s">
        <v>32</v>
      </c>
      <c r="D4" t="s">
        <v>23</v>
      </c>
      <c r="E4" t="s">
        <v>25</v>
      </c>
      <c r="F4" t="s">
        <v>28</v>
      </c>
      <c r="G4" t="s">
        <v>20</v>
      </c>
      <c r="H4" t="s">
        <v>10</v>
      </c>
      <c r="I4" t="s">
        <v>75</v>
      </c>
    </row>
    <row r="5" spans="1:9" x14ac:dyDescent="0.3">
      <c r="A5" s="5" t="s">
        <v>31</v>
      </c>
      <c r="F5">
        <v>1499</v>
      </c>
      <c r="I5">
        <v>1499</v>
      </c>
    </row>
    <row r="6" spans="1:9" x14ac:dyDescent="0.3">
      <c r="A6" s="6" t="s">
        <v>70</v>
      </c>
      <c r="F6">
        <v>1499</v>
      </c>
      <c r="I6">
        <v>1499</v>
      </c>
    </row>
    <row r="7" spans="1:9" x14ac:dyDescent="0.3">
      <c r="A7" s="5" t="s">
        <v>13</v>
      </c>
      <c r="H7">
        <v>1199</v>
      </c>
      <c r="I7">
        <v>1199</v>
      </c>
    </row>
    <row r="8" spans="1:9" x14ac:dyDescent="0.3">
      <c r="A8" s="6" t="s">
        <v>12</v>
      </c>
      <c r="H8">
        <v>1199</v>
      </c>
      <c r="I8">
        <v>1199</v>
      </c>
    </row>
    <row r="9" spans="1:9" x14ac:dyDescent="0.3">
      <c r="A9" s="5" t="s">
        <v>35</v>
      </c>
      <c r="B9">
        <v>599</v>
      </c>
      <c r="C9">
        <v>799</v>
      </c>
      <c r="I9">
        <v>1398</v>
      </c>
    </row>
    <row r="10" spans="1:9" x14ac:dyDescent="0.3">
      <c r="A10" s="6">
        <v>5</v>
      </c>
      <c r="B10">
        <v>599</v>
      </c>
      <c r="I10">
        <v>599</v>
      </c>
    </row>
    <row r="11" spans="1:9" x14ac:dyDescent="0.3">
      <c r="A11" s="6">
        <v>14</v>
      </c>
      <c r="C11">
        <v>799</v>
      </c>
      <c r="I11">
        <v>799</v>
      </c>
    </row>
    <row r="12" spans="1:9" x14ac:dyDescent="0.3">
      <c r="A12" s="5" t="s">
        <v>9</v>
      </c>
      <c r="D12">
        <v>2998</v>
      </c>
      <c r="E12">
        <v>1349</v>
      </c>
      <c r="G12">
        <v>999</v>
      </c>
      <c r="I12">
        <v>5346</v>
      </c>
    </row>
    <row r="13" spans="1:9" x14ac:dyDescent="0.3">
      <c r="A13" s="6">
        <v>13</v>
      </c>
      <c r="D13">
        <v>999</v>
      </c>
      <c r="I13">
        <v>999</v>
      </c>
    </row>
    <row r="14" spans="1:9" x14ac:dyDescent="0.3">
      <c r="A14" s="6" t="s">
        <v>22</v>
      </c>
      <c r="G14">
        <v>999</v>
      </c>
      <c r="I14">
        <v>999</v>
      </c>
    </row>
    <row r="15" spans="1:9" x14ac:dyDescent="0.3">
      <c r="A15" s="6" t="s">
        <v>50</v>
      </c>
      <c r="D15">
        <v>1999</v>
      </c>
      <c r="I15">
        <v>1999</v>
      </c>
    </row>
    <row r="16" spans="1:9" x14ac:dyDescent="0.3">
      <c r="A16" s="6" t="s">
        <v>27</v>
      </c>
      <c r="E16">
        <v>1349</v>
      </c>
      <c r="I16">
        <v>1349</v>
      </c>
    </row>
    <row r="17" spans="1:9" x14ac:dyDescent="0.3">
      <c r="A17" s="5" t="s">
        <v>75</v>
      </c>
      <c r="B17">
        <v>599</v>
      </c>
      <c r="C17">
        <v>799</v>
      </c>
      <c r="D17">
        <v>2998</v>
      </c>
      <c r="E17">
        <v>1349</v>
      </c>
      <c r="F17">
        <v>1499</v>
      </c>
      <c r="G17">
        <v>999</v>
      </c>
      <c r="H17">
        <v>1199</v>
      </c>
      <c r="I17">
        <v>9442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B2C80-C235-43C6-A7E3-A30E50B946CA}">
  <sheetPr>
    <tabColor theme="4" tint="0.39997558519241921"/>
  </sheetPr>
  <dimension ref="A3:L11"/>
  <sheetViews>
    <sheetView workbookViewId="0">
      <selection activeCell="P9" sqref="P9"/>
    </sheetView>
  </sheetViews>
  <sheetFormatPr defaultRowHeight="14.4" x14ac:dyDescent="0.3"/>
  <cols>
    <col min="1" max="1" width="17" bestFit="1" customWidth="1"/>
    <col min="2" max="2" width="15.5546875" bestFit="1" customWidth="1"/>
    <col min="3" max="3" width="5.88671875" bestFit="1" customWidth="1"/>
    <col min="4" max="5" width="5" bestFit="1" customWidth="1"/>
    <col min="6" max="6" width="6.88671875" bestFit="1" customWidth="1"/>
    <col min="7" max="7" width="5" bestFit="1" customWidth="1"/>
    <col min="8" max="8" width="7.21875" bestFit="1" customWidth="1"/>
    <col min="9" max="9" width="9.109375" bestFit="1" customWidth="1"/>
    <col min="10" max="10" width="8.6640625" bestFit="1" customWidth="1"/>
    <col min="11" max="11" width="5.21875" bestFit="1" customWidth="1"/>
    <col min="12" max="12" width="10.77734375" bestFit="1" customWidth="1"/>
    <col min="13" max="13" width="7.6640625" bestFit="1" customWidth="1"/>
    <col min="14" max="14" width="4.88671875" bestFit="1" customWidth="1"/>
    <col min="15" max="15" width="9.21875" bestFit="1" customWidth="1"/>
    <col min="16" max="16" width="10.5546875" bestFit="1" customWidth="1"/>
    <col min="17" max="17" width="8.33203125" bestFit="1" customWidth="1"/>
    <col min="18" max="18" width="5" bestFit="1" customWidth="1"/>
    <col min="19" max="20" width="7.33203125" bestFit="1" customWidth="1"/>
    <col min="21" max="21" width="5.21875" bestFit="1" customWidth="1"/>
    <col min="22" max="22" width="8.88671875" bestFit="1" customWidth="1"/>
    <col min="23" max="23" width="5" bestFit="1" customWidth="1"/>
    <col min="24" max="24" width="10" bestFit="1" customWidth="1"/>
    <col min="25" max="25" width="4" bestFit="1" customWidth="1"/>
    <col min="26" max="26" width="5.21875" bestFit="1" customWidth="1"/>
    <col min="27" max="27" width="6.33203125" bestFit="1" customWidth="1"/>
    <col min="28" max="28" width="4.21875" bestFit="1" customWidth="1"/>
    <col min="29" max="29" width="8.44140625" bestFit="1" customWidth="1"/>
    <col min="30" max="30" width="10.77734375" bestFit="1" customWidth="1"/>
  </cols>
  <sheetData>
    <row r="3" spans="1:12" x14ac:dyDescent="0.3">
      <c r="A3" s="4" t="s">
        <v>77</v>
      </c>
      <c r="B3" s="4" t="s">
        <v>76</v>
      </c>
    </row>
    <row r="4" spans="1:12" x14ac:dyDescent="0.3">
      <c r="A4" s="4" t="s">
        <v>74</v>
      </c>
      <c r="B4" t="s">
        <v>36</v>
      </c>
      <c r="C4" t="s">
        <v>6</v>
      </c>
      <c r="D4" t="s">
        <v>32</v>
      </c>
      <c r="E4" t="s">
        <v>23</v>
      </c>
      <c r="F4" t="s">
        <v>14</v>
      </c>
      <c r="G4" t="s">
        <v>25</v>
      </c>
      <c r="H4" t="s">
        <v>28</v>
      </c>
      <c r="I4" t="s">
        <v>20</v>
      </c>
      <c r="J4" t="s">
        <v>10</v>
      </c>
      <c r="K4" t="s">
        <v>17</v>
      </c>
      <c r="L4" t="s">
        <v>75</v>
      </c>
    </row>
    <row r="5" spans="1:12" x14ac:dyDescent="0.3">
      <c r="A5" s="5" t="s">
        <v>31</v>
      </c>
      <c r="E5">
        <v>499</v>
      </c>
      <c r="H5">
        <v>3927</v>
      </c>
      <c r="L5">
        <v>4426</v>
      </c>
    </row>
    <row r="6" spans="1:12" x14ac:dyDescent="0.3">
      <c r="A6" s="5" t="s">
        <v>19</v>
      </c>
      <c r="K6">
        <v>1798</v>
      </c>
      <c r="L6">
        <v>1798</v>
      </c>
    </row>
    <row r="7" spans="1:12" x14ac:dyDescent="0.3">
      <c r="A7" s="5" t="s">
        <v>63</v>
      </c>
      <c r="K7">
        <v>349</v>
      </c>
      <c r="L7">
        <v>349</v>
      </c>
    </row>
    <row r="8" spans="1:12" x14ac:dyDescent="0.3">
      <c r="A8" s="5" t="s">
        <v>13</v>
      </c>
      <c r="J8">
        <v>3747</v>
      </c>
      <c r="L8">
        <v>3747</v>
      </c>
    </row>
    <row r="9" spans="1:12" x14ac:dyDescent="0.3">
      <c r="A9" s="5" t="s">
        <v>35</v>
      </c>
      <c r="B9">
        <v>2597</v>
      </c>
      <c r="D9">
        <v>3497</v>
      </c>
      <c r="L9">
        <v>6094</v>
      </c>
    </row>
    <row r="10" spans="1:12" x14ac:dyDescent="0.3">
      <c r="A10" s="5" t="s">
        <v>9</v>
      </c>
      <c r="C10">
        <v>4197</v>
      </c>
      <c r="E10">
        <v>2998</v>
      </c>
      <c r="F10">
        <v>1777</v>
      </c>
      <c r="G10">
        <v>3897</v>
      </c>
      <c r="I10">
        <v>2397</v>
      </c>
      <c r="L10">
        <v>15266</v>
      </c>
    </row>
    <row r="11" spans="1:12" x14ac:dyDescent="0.3">
      <c r="A11" s="5" t="s">
        <v>75</v>
      </c>
      <c r="B11">
        <v>2597</v>
      </c>
      <c r="C11">
        <v>4197</v>
      </c>
      <c r="D11">
        <v>3497</v>
      </c>
      <c r="E11">
        <v>3497</v>
      </c>
      <c r="F11">
        <v>1777</v>
      </c>
      <c r="G11">
        <v>3897</v>
      </c>
      <c r="H11">
        <v>3927</v>
      </c>
      <c r="I11">
        <v>2397</v>
      </c>
      <c r="J11">
        <v>3747</v>
      </c>
      <c r="K11">
        <v>2147</v>
      </c>
      <c r="L11">
        <v>31680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1C6EF-B4E9-4B82-8328-72373F88AA01}">
  <sheetPr>
    <tabColor theme="9"/>
  </sheetPr>
  <dimension ref="A3:B14"/>
  <sheetViews>
    <sheetView topLeftCell="A2" workbookViewId="0">
      <selection activeCell="G28" sqref="G27:G28"/>
    </sheetView>
  </sheetViews>
  <sheetFormatPr defaultRowHeight="14.4" x14ac:dyDescent="0.3"/>
  <cols>
    <col min="1" max="1" width="12.5546875" bestFit="1" customWidth="1"/>
    <col min="2" max="2" width="17" bestFit="1" customWidth="1"/>
  </cols>
  <sheetData>
    <row r="3" spans="1:2" x14ac:dyDescent="0.3">
      <c r="A3" s="4" t="s">
        <v>74</v>
      </c>
      <c r="B3" t="s">
        <v>77</v>
      </c>
    </row>
    <row r="4" spans="1:2" x14ac:dyDescent="0.3">
      <c r="A4" s="5" t="s">
        <v>36</v>
      </c>
      <c r="B4">
        <v>2597</v>
      </c>
    </row>
    <row r="5" spans="1:2" x14ac:dyDescent="0.3">
      <c r="A5" s="5" t="s">
        <v>6</v>
      </c>
      <c r="B5">
        <v>4197</v>
      </c>
    </row>
    <row r="6" spans="1:2" x14ac:dyDescent="0.3">
      <c r="A6" s="5" t="s">
        <v>32</v>
      </c>
      <c r="B6">
        <v>3497</v>
      </c>
    </row>
    <row r="7" spans="1:2" x14ac:dyDescent="0.3">
      <c r="A7" s="5" t="s">
        <v>23</v>
      </c>
      <c r="B7">
        <v>3497</v>
      </c>
    </row>
    <row r="8" spans="1:2" x14ac:dyDescent="0.3">
      <c r="A8" s="5" t="s">
        <v>14</v>
      </c>
      <c r="B8">
        <v>1777</v>
      </c>
    </row>
    <row r="9" spans="1:2" x14ac:dyDescent="0.3">
      <c r="A9" s="5" t="s">
        <v>25</v>
      </c>
      <c r="B9">
        <v>3897</v>
      </c>
    </row>
    <row r="10" spans="1:2" x14ac:dyDescent="0.3">
      <c r="A10" s="5" t="s">
        <v>28</v>
      </c>
      <c r="B10">
        <v>3927</v>
      </c>
    </row>
    <row r="11" spans="1:2" x14ac:dyDescent="0.3">
      <c r="A11" s="5" t="s">
        <v>20</v>
      </c>
      <c r="B11">
        <v>2397</v>
      </c>
    </row>
    <row r="12" spans="1:2" x14ac:dyDescent="0.3">
      <c r="A12" s="5" t="s">
        <v>10</v>
      </c>
      <c r="B12">
        <v>3747</v>
      </c>
    </row>
    <row r="13" spans="1:2" x14ac:dyDescent="0.3">
      <c r="A13" s="5" t="s">
        <v>17</v>
      </c>
      <c r="B13">
        <v>2147</v>
      </c>
    </row>
    <row r="14" spans="1:2" x14ac:dyDescent="0.3">
      <c r="A14" s="5" t="s">
        <v>75</v>
      </c>
      <c r="B14">
        <v>31680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46CE8-F6E3-4F3C-AE4A-B4EC2D4377C5}">
  <sheetPr>
    <tabColor theme="5" tint="-0.249977111117893"/>
  </sheetPr>
  <dimension ref="A3:M12"/>
  <sheetViews>
    <sheetView workbookViewId="0">
      <selection activeCell="G17" sqref="G17"/>
    </sheetView>
  </sheetViews>
  <sheetFormatPr defaultRowHeight="14.4" x14ac:dyDescent="0.3"/>
  <cols>
    <col min="1" max="1" width="17" bestFit="1" customWidth="1"/>
    <col min="2" max="2" width="15.5546875" bestFit="1" customWidth="1"/>
    <col min="3" max="3" width="5.88671875" bestFit="1" customWidth="1"/>
    <col min="4" max="5" width="5" bestFit="1" customWidth="1"/>
    <col min="6" max="6" width="6.88671875" bestFit="1" customWidth="1"/>
    <col min="7" max="7" width="5" bestFit="1" customWidth="1"/>
    <col min="8" max="8" width="7.21875" bestFit="1" customWidth="1"/>
    <col min="9" max="9" width="9.109375" bestFit="1" customWidth="1"/>
    <col min="10" max="10" width="8.6640625" bestFit="1" customWidth="1"/>
    <col min="11" max="11" width="5.21875" bestFit="1" customWidth="1"/>
    <col min="12" max="12" width="7" bestFit="1" customWidth="1"/>
    <col min="13" max="13" width="10.77734375" bestFit="1" customWidth="1"/>
  </cols>
  <sheetData>
    <row r="3" spans="1:13" x14ac:dyDescent="0.3">
      <c r="A3" s="4" t="s">
        <v>77</v>
      </c>
      <c r="B3" s="4" t="s">
        <v>76</v>
      </c>
    </row>
    <row r="4" spans="1:13" x14ac:dyDescent="0.3">
      <c r="A4" s="4" t="s">
        <v>74</v>
      </c>
      <c r="B4" t="s">
        <v>36</v>
      </c>
      <c r="C4" t="s">
        <v>6</v>
      </c>
      <c r="D4" t="s">
        <v>32</v>
      </c>
      <c r="E4" t="s">
        <v>23</v>
      </c>
      <c r="F4" t="s">
        <v>14</v>
      </c>
      <c r="G4" t="s">
        <v>25</v>
      </c>
      <c r="H4" t="s">
        <v>28</v>
      </c>
      <c r="I4" t="s">
        <v>20</v>
      </c>
      <c r="J4" t="s">
        <v>10</v>
      </c>
      <c r="K4" t="s">
        <v>17</v>
      </c>
      <c r="L4" t="s">
        <v>80</v>
      </c>
      <c r="M4" t="s">
        <v>75</v>
      </c>
    </row>
    <row r="5" spans="1:13" x14ac:dyDescent="0.3">
      <c r="A5" s="5" t="s">
        <v>31</v>
      </c>
      <c r="E5">
        <v>499</v>
      </c>
      <c r="H5">
        <v>3927</v>
      </c>
      <c r="M5">
        <v>4426</v>
      </c>
    </row>
    <row r="6" spans="1:13" x14ac:dyDescent="0.3">
      <c r="A6" s="5" t="s">
        <v>19</v>
      </c>
      <c r="K6">
        <v>1798</v>
      </c>
      <c r="M6">
        <v>1798</v>
      </c>
    </row>
    <row r="7" spans="1:13" x14ac:dyDescent="0.3">
      <c r="A7" s="5" t="s">
        <v>63</v>
      </c>
      <c r="K7">
        <v>349</v>
      </c>
      <c r="M7">
        <v>349</v>
      </c>
    </row>
    <row r="8" spans="1:13" x14ac:dyDescent="0.3">
      <c r="A8" s="5" t="s">
        <v>13</v>
      </c>
      <c r="J8">
        <v>3747</v>
      </c>
      <c r="M8">
        <v>3747</v>
      </c>
    </row>
    <row r="9" spans="1:13" x14ac:dyDescent="0.3">
      <c r="A9" s="5" t="s">
        <v>35</v>
      </c>
      <c r="B9">
        <v>2597</v>
      </c>
      <c r="D9">
        <v>3497</v>
      </c>
      <c r="M9">
        <v>6094</v>
      </c>
    </row>
    <row r="10" spans="1:13" x14ac:dyDescent="0.3">
      <c r="A10" s="5" t="s">
        <v>9</v>
      </c>
      <c r="C10">
        <v>4197</v>
      </c>
      <c r="E10">
        <v>2998</v>
      </c>
      <c r="F10">
        <v>1777</v>
      </c>
      <c r="G10">
        <v>3897</v>
      </c>
      <c r="I10">
        <v>2397</v>
      </c>
      <c r="M10">
        <v>15266</v>
      </c>
    </row>
    <row r="11" spans="1:13" x14ac:dyDescent="0.3">
      <c r="A11" s="5" t="s">
        <v>80</v>
      </c>
    </row>
    <row r="12" spans="1:13" x14ac:dyDescent="0.3">
      <c r="A12" s="5" t="s">
        <v>75</v>
      </c>
      <c r="B12">
        <v>2597</v>
      </c>
      <c r="C12">
        <v>4197</v>
      </c>
      <c r="D12">
        <v>3497</v>
      </c>
      <c r="E12">
        <v>3497</v>
      </c>
      <c r="F12">
        <v>1777</v>
      </c>
      <c r="G12">
        <v>3897</v>
      </c>
      <c r="H12">
        <v>3927</v>
      </c>
      <c r="I12">
        <v>2397</v>
      </c>
      <c r="J12">
        <v>3747</v>
      </c>
      <c r="K12">
        <v>2147</v>
      </c>
      <c r="M12">
        <v>31680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A1ED9-AF09-41A0-927A-39340D891BE5}">
  <dimension ref="A1:F8"/>
  <sheetViews>
    <sheetView workbookViewId="0"/>
  </sheetViews>
  <sheetFormatPr defaultRowHeight="14.4" x14ac:dyDescent="0.3"/>
  <cols>
    <col min="1" max="1" width="17" bestFit="1" customWidth="1"/>
    <col min="2" max="2" width="15.5546875" bestFit="1" customWidth="1"/>
    <col min="3" max="3" width="4.88671875" bestFit="1" customWidth="1"/>
    <col min="4" max="4" width="4.109375" bestFit="1" customWidth="1"/>
    <col min="5" max="5" width="8.6640625" bestFit="1" customWidth="1"/>
    <col min="6" max="6" width="10.77734375" bestFit="1" customWidth="1"/>
  </cols>
  <sheetData>
    <row r="1" spans="1:6" x14ac:dyDescent="0.3">
      <c r="A1" s="4" t="s">
        <v>78</v>
      </c>
      <c r="B1" t="s">
        <v>93</v>
      </c>
    </row>
    <row r="3" spans="1:6" x14ac:dyDescent="0.3">
      <c r="A3" s="4" t="s">
        <v>77</v>
      </c>
      <c r="B3" s="4" t="s">
        <v>76</v>
      </c>
    </row>
    <row r="4" spans="1:6" x14ac:dyDescent="0.3">
      <c r="A4" s="4" t="s">
        <v>74</v>
      </c>
      <c r="B4" t="s">
        <v>36</v>
      </c>
      <c r="C4" t="s">
        <v>32</v>
      </c>
      <c r="D4" t="s">
        <v>23</v>
      </c>
      <c r="E4" t="s">
        <v>10</v>
      </c>
      <c r="F4" t="s">
        <v>75</v>
      </c>
    </row>
    <row r="5" spans="1:6" x14ac:dyDescent="0.3">
      <c r="A5" s="5" t="s">
        <v>13</v>
      </c>
      <c r="E5">
        <v>1199</v>
      </c>
      <c r="F5">
        <v>1199</v>
      </c>
    </row>
    <row r="6" spans="1:6" x14ac:dyDescent="0.3">
      <c r="A6" s="5" t="s">
        <v>35</v>
      </c>
      <c r="B6">
        <v>599</v>
      </c>
      <c r="C6">
        <v>799</v>
      </c>
      <c r="F6">
        <v>1398</v>
      </c>
    </row>
    <row r="7" spans="1:6" x14ac:dyDescent="0.3">
      <c r="A7" s="5" t="s">
        <v>9</v>
      </c>
      <c r="D7">
        <v>999</v>
      </c>
      <c r="F7">
        <v>999</v>
      </c>
    </row>
    <row r="8" spans="1:6" x14ac:dyDescent="0.3">
      <c r="A8" s="5" t="s">
        <v>75</v>
      </c>
      <c r="B8">
        <v>599</v>
      </c>
      <c r="C8">
        <v>799</v>
      </c>
      <c r="D8">
        <v>999</v>
      </c>
      <c r="E8">
        <v>1199</v>
      </c>
      <c r="F8">
        <v>3596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F90BA-04D9-46D6-B0D4-35BD878117A1}">
  <dimension ref="A1:D7"/>
  <sheetViews>
    <sheetView workbookViewId="0"/>
  </sheetViews>
  <sheetFormatPr defaultRowHeight="14.4" x14ac:dyDescent="0.3"/>
  <cols>
    <col min="1" max="1" width="17" bestFit="1" customWidth="1"/>
    <col min="2" max="2" width="15.5546875" bestFit="1" customWidth="1"/>
    <col min="3" max="3" width="7.21875" bestFit="1" customWidth="1"/>
    <col min="4" max="4" width="10.77734375" bestFit="1" customWidth="1"/>
  </cols>
  <sheetData>
    <row r="1" spans="1:4" x14ac:dyDescent="0.3">
      <c r="A1" s="4" t="s">
        <v>78</v>
      </c>
      <c r="B1" t="s">
        <v>92</v>
      </c>
    </row>
    <row r="3" spans="1:4" x14ac:dyDescent="0.3">
      <c r="A3" s="4" t="s">
        <v>77</v>
      </c>
      <c r="B3" s="4" t="s">
        <v>76</v>
      </c>
    </row>
    <row r="4" spans="1:4" x14ac:dyDescent="0.3">
      <c r="A4" s="4" t="s">
        <v>74</v>
      </c>
      <c r="B4" t="s">
        <v>36</v>
      </c>
      <c r="C4" t="s">
        <v>28</v>
      </c>
      <c r="D4" t="s">
        <v>75</v>
      </c>
    </row>
    <row r="5" spans="1:4" x14ac:dyDescent="0.3">
      <c r="A5" s="5" t="s">
        <v>31</v>
      </c>
      <c r="C5">
        <v>1429</v>
      </c>
      <c r="D5">
        <v>1429</v>
      </c>
    </row>
    <row r="6" spans="1:4" x14ac:dyDescent="0.3">
      <c r="A6" s="5" t="s">
        <v>35</v>
      </c>
      <c r="B6">
        <v>1998</v>
      </c>
      <c r="D6">
        <v>1998</v>
      </c>
    </row>
    <row r="7" spans="1:4" x14ac:dyDescent="0.3">
      <c r="A7" s="5" t="s">
        <v>75</v>
      </c>
      <c r="B7">
        <v>1998</v>
      </c>
      <c r="C7">
        <v>1429</v>
      </c>
      <c r="D7">
        <v>3427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3C0A5-A349-477E-9AF3-3A5605FFA17E}">
  <dimension ref="A1:E8"/>
  <sheetViews>
    <sheetView workbookViewId="0"/>
  </sheetViews>
  <sheetFormatPr defaultRowHeight="14.4" x14ac:dyDescent="0.3"/>
  <cols>
    <col min="1" max="1" width="17" bestFit="1" customWidth="1"/>
    <col min="2" max="2" width="15.5546875" bestFit="1" customWidth="1"/>
    <col min="3" max="3" width="6.88671875" bestFit="1" customWidth="1"/>
    <col min="4" max="4" width="7.21875" bestFit="1" customWidth="1"/>
    <col min="5" max="5" width="10.77734375" bestFit="1" customWidth="1"/>
  </cols>
  <sheetData>
    <row r="1" spans="1:5" x14ac:dyDescent="0.3">
      <c r="A1" s="4" t="s">
        <v>78</v>
      </c>
      <c r="B1" t="s">
        <v>91</v>
      </c>
    </row>
    <row r="3" spans="1:5" x14ac:dyDescent="0.3">
      <c r="A3" s="4" t="s">
        <v>77</v>
      </c>
      <c r="B3" s="4" t="s">
        <v>76</v>
      </c>
    </row>
    <row r="4" spans="1:5" x14ac:dyDescent="0.3">
      <c r="A4" s="4" t="s">
        <v>74</v>
      </c>
      <c r="B4" t="s">
        <v>32</v>
      </c>
      <c r="C4" t="s">
        <v>14</v>
      </c>
      <c r="D4" t="s">
        <v>28</v>
      </c>
      <c r="E4" t="s">
        <v>75</v>
      </c>
    </row>
    <row r="5" spans="1:5" x14ac:dyDescent="0.3">
      <c r="A5" s="5" t="s">
        <v>31</v>
      </c>
      <c r="D5">
        <v>999</v>
      </c>
      <c r="E5">
        <v>999</v>
      </c>
    </row>
    <row r="6" spans="1:5" x14ac:dyDescent="0.3">
      <c r="A6" s="5" t="s">
        <v>35</v>
      </c>
      <c r="B6">
        <v>2698</v>
      </c>
      <c r="E6">
        <v>2698</v>
      </c>
    </row>
    <row r="7" spans="1:5" x14ac:dyDescent="0.3">
      <c r="A7" s="5" t="s">
        <v>9</v>
      </c>
      <c r="C7">
        <v>229</v>
      </c>
      <c r="E7">
        <v>229</v>
      </c>
    </row>
    <row r="8" spans="1:5" x14ac:dyDescent="0.3">
      <c r="A8" s="5" t="s">
        <v>75</v>
      </c>
      <c r="B8">
        <v>2698</v>
      </c>
      <c r="C8">
        <v>229</v>
      </c>
      <c r="D8">
        <v>999</v>
      </c>
      <c r="E8">
        <v>3926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E8A5E-C5D7-4A7A-ADA8-A55148323AEA}">
  <dimension ref="A1:F7"/>
  <sheetViews>
    <sheetView workbookViewId="0"/>
  </sheetViews>
  <sheetFormatPr defaultRowHeight="14.4" x14ac:dyDescent="0.3"/>
  <cols>
    <col min="1" max="1" width="17" bestFit="1" customWidth="1"/>
    <col min="2" max="2" width="15.5546875" bestFit="1" customWidth="1"/>
    <col min="3" max="3" width="5" bestFit="1" customWidth="1"/>
    <col min="4" max="4" width="7.21875" bestFit="1" customWidth="1"/>
    <col min="5" max="5" width="9.109375" bestFit="1" customWidth="1"/>
    <col min="6" max="6" width="10.77734375" bestFit="1" customWidth="1"/>
  </cols>
  <sheetData>
    <row r="1" spans="1:6" x14ac:dyDescent="0.3">
      <c r="A1" s="4" t="s">
        <v>78</v>
      </c>
      <c r="B1" t="s">
        <v>90</v>
      </c>
    </row>
    <row r="3" spans="1:6" x14ac:dyDescent="0.3">
      <c r="A3" s="4" t="s">
        <v>77</v>
      </c>
      <c r="B3" s="4" t="s">
        <v>76</v>
      </c>
    </row>
    <row r="4" spans="1:6" x14ac:dyDescent="0.3">
      <c r="A4" s="4" t="s">
        <v>74</v>
      </c>
      <c r="B4" t="s">
        <v>23</v>
      </c>
      <c r="C4" t="s">
        <v>25</v>
      </c>
      <c r="D4" t="s">
        <v>28</v>
      </c>
      <c r="E4" t="s">
        <v>20</v>
      </c>
      <c r="F4" t="s">
        <v>75</v>
      </c>
    </row>
    <row r="5" spans="1:6" x14ac:dyDescent="0.3">
      <c r="A5" s="5" t="s">
        <v>31</v>
      </c>
      <c r="D5">
        <v>1499</v>
      </c>
      <c r="F5">
        <v>1499</v>
      </c>
    </row>
    <row r="6" spans="1:6" x14ac:dyDescent="0.3">
      <c r="A6" s="5" t="s">
        <v>9</v>
      </c>
      <c r="B6">
        <v>1999</v>
      </c>
      <c r="C6">
        <v>1349</v>
      </c>
      <c r="E6">
        <v>999</v>
      </c>
      <c r="F6">
        <v>4347</v>
      </c>
    </row>
    <row r="7" spans="1:6" x14ac:dyDescent="0.3">
      <c r="A7" s="5" t="s">
        <v>75</v>
      </c>
      <c r="B7">
        <v>1999</v>
      </c>
      <c r="C7">
        <v>1349</v>
      </c>
      <c r="D7">
        <v>1499</v>
      </c>
      <c r="E7">
        <v>999</v>
      </c>
      <c r="F7">
        <v>5846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0486C-0444-4F5A-9BAE-D4308EC4CB91}">
  <dimension ref="A1:D6"/>
  <sheetViews>
    <sheetView workbookViewId="0"/>
  </sheetViews>
  <sheetFormatPr defaultRowHeight="14.4" x14ac:dyDescent="0.3"/>
  <cols>
    <col min="1" max="1" width="17" bestFit="1" customWidth="1"/>
    <col min="2" max="2" width="15.5546875" bestFit="1" customWidth="1"/>
    <col min="3" max="3" width="4" bestFit="1" customWidth="1"/>
    <col min="4" max="4" width="10.77734375" bestFit="1" customWidth="1"/>
  </cols>
  <sheetData>
    <row r="1" spans="1:4" x14ac:dyDescent="0.3">
      <c r="A1" s="4" t="s">
        <v>78</v>
      </c>
      <c r="B1" t="s">
        <v>89</v>
      </c>
    </row>
    <row r="3" spans="1:4" x14ac:dyDescent="0.3">
      <c r="A3" s="4" t="s">
        <v>77</v>
      </c>
      <c r="B3" s="4" t="s">
        <v>76</v>
      </c>
    </row>
    <row r="4" spans="1:4" x14ac:dyDescent="0.3">
      <c r="A4" s="4" t="s">
        <v>74</v>
      </c>
      <c r="B4" t="s">
        <v>6</v>
      </c>
      <c r="C4" t="s">
        <v>25</v>
      </c>
      <c r="D4" t="s">
        <v>75</v>
      </c>
    </row>
    <row r="5" spans="1:4" x14ac:dyDescent="0.3">
      <c r="A5" s="5" t="s">
        <v>9</v>
      </c>
      <c r="B5">
        <v>1099</v>
      </c>
      <c r="C5">
        <v>749</v>
      </c>
      <c r="D5">
        <v>1848</v>
      </c>
    </row>
    <row r="6" spans="1:4" x14ac:dyDescent="0.3">
      <c r="A6" s="5" t="s">
        <v>75</v>
      </c>
      <c r="B6">
        <v>1099</v>
      </c>
      <c r="C6">
        <v>749</v>
      </c>
      <c r="D6">
        <v>1848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D529-0354-4DA3-95C3-C5E667BB0829}">
  <dimension ref="A1:D6"/>
  <sheetViews>
    <sheetView workbookViewId="0"/>
  </sheetViews>
  <sheetFormatPr defaultRowHeight="14.4" x14ac:dyDescent="0.3"/>
  <cols>
    <col min="1" max="1" width="17" bestFit="1" customWidth="1"/>
    <col min="2" max="2" width="15.5546875" bestFit="1" customWidth="1"/>
    <col min="3" max="3" width="5" bestFit="1" customWidth="1"/>
    <col min="4" max="4" width="10.77734375" bestFit="1" customWidth="1"/>
  </cols>
  <sheetData>
    <row r="1" spans="1:4" x14ac:dyDescent="0.3">
      <c r="A1" s="4" t="s">
        <v>78</v>
      </c>
      <c r="B1" t="s">
        <v>88</v>
      </c>
    </row>
    <row r="3" spans="1:4" x14ac:dyDescent="0.3">
      <c r="A3" s="4" t="s">
        <v>77</v>
      </c>
      <c r="B3" s="4" t="s">
        <v>76</v>
      </c>
    </row>
    <row r="4" spans="1:4" x14ac:dyDescent="0.3">
      <c r="A4" s="4" t="s">
        <v>74</v>
      </c>
      <c r="B4" t="s">
        <v>14</v>
      </c>
      <c r="C4" t="s">
        <v>25</v>
      </c>
      <c r="D4" t="s">
        <v>75</v>
      </c>
    </row>
    <row r="5" spans="1:4" x14ac:dyDescent="0.3">
      <c r="A5" s="5" t="s">
        <v>9</v>
      </c>
      <c r="B5">
        <v>649</v>
      </c>
      <c r="C5">
        <v>1799</v>
      </c>
      <c r="D5">
        <v>2448</v>
      </c>
    </row>
    <row r="6" spans="1:4" x14ac:dyDescent="0.3">
      <c r="A6" s="5" t="s">
        <v>75</v>
      </c>
      <c r="B6">
        <v>649</v>
      </c>
      <c r="C6">
        <v>1799</v>
      </c>
      <c r="D6">
        <v>2448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F6841-AD09-4461-B620-5930A01CFE38}">
  <dimension ref="A1:C6"/>
  <sheetViews>
    <sheetView workbookViewId="0"/>
  </sheetViews>
  <sheetFormatPr defaultRowHeight="14.4" x14ac:dyDescent="0.3"/>
  <cols>
    <col min="1" max="1" width="17" bestFit="1" customWidth="1"/>
    <col min="2" max="2" width="15.5546875" bestFit="1" customWidth="1"/>
    <col min="3" max="3" width="10.77734375" bestFit="1" customWidth="1"/>
  </cols>
  <sheetData>
    <row r="1" spans="1:3" x14ac:dyDescent="0.3">
      <c r="A1" s="4" t="s">
        <v>78</v>
      </c>
      <c r="B1" t="s">
        <v>87</v>
      </c>
    </row>
    <row r="3" spans="1:3" x14ac:dyDescent="0.3">
      <c r="A3" s="4" t="s">
        <v>77</v>
      </c>
      <c r="B3" s="4" t="s">
        <v>76</v>
      </c>
    </row>
    <row r="4" spans="1:3" x14ac:dyDescent="0.3">
      <c r="A4" s="4" t="s">
        <v>74</v>
      </c>
      <c r="B4" t="s">
        <v>10</v>
      </c>
      <c r="C4" t="s">
        <v>75</v>
      </c>
    </row>
    <row r="5" spans="1:3" x14ac:dyDescent="0.3">
      <c r="A5" s="5" t="s">
        <v>13</v>
      </c>
      <c r="B5">
        <v>1699</v>
      </c>
      <c r="C5">
        <v>1699</v>
      </c>
    </row>
    <row r="6" spans="1:3" x14ac:dyDescent="0.3">
      <c r="A6" s="5" t="s">
        <v>75</v>
      </c>
      <c r="B6">
        <v>1699</v>
      </c>
      <c r="C6">
        <v>1699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926DB-7275-476E-88E3-631F9A70F636}">
  <dimension ref="A1:D8"/>
  <sheetViews>
    <sheetView workbookViewId="0"/>
  </sheetViews>
  <sheetFormatPr defaultRowHeight="14.4" x14ac:dyDescent="0.3"/>
  <cols>
    <col min="1" max="1" width="17" bestFit="1" customWidth="1"/>
    <col min="2" max="2" width="15.5546875" bestFit="1" customWidth="1"/>
    <col min="3" max="3" width="5.21875" bestFit="1" customWidth="1"/>
    <col min="4" max="4" width="10.77734375" bestFit="1" customWidth="1"/>
  </cols>
  <sheetData>
    <row r="1" spans="1:4" x14ac:dyDescent="0.3">
      <c r="A1" s="4" t="s">
        <v>78</v>
      </c>
      <c r="B1" t="s">
        <v>86</v>
      </c>
    </row>
    <row r="3" spans="1:4" x14ac:dyDescent="0.3">
      <c r="A3" s="4" t="s">
        <v>77</v>
      </c>
      <c r="B3" s="4" t="s">
        <v>76</v>
      </c>
    </row>
    <row r="4" spans="1:4" x14ac:dyDescent="0.3">
      <c r="A4" s="4" t="s">
        <v>74</v>
      </c>
      <c r="B4" t="s">
        <v>10</v>
      </c>
      <c r="C4" t="s">
        <v>17</v>
      </c>
      <c r="D4" t="s">
        <v>75</v>
      </c>
    </row>
    <row r="5" spans="1:4" x14ac:dyDescent="0.3">
      <c r="A5" s="5" t="s">
        <v>19</v>
      </c>
      <c r="C5">
        <v>1299</v>
      </c>
      <c r="D5">
        <v>1299</v>
      </c>
    </row>
    <row r="6" spans="1:4" x14ac:dyDescent="0.3">
      <c r="A6" s="5" t="s">
        <v>63</v>
      </c>
      <c r="C6">
        <v>349</v>
      </c>
      <c r="D6">
        <v>349</v>
      </c>
    </row>
    <row r="7" spans="1:4" x14ac:dyDescent="0.3">
      <c r="A7" s="5" t="s">
        <v>13</v>
      </c>
      <c r="B7">
        <v>849</v>
      </c>
      <c r="D7">
        <v>849</v>
      </c>
    </row>
    <row r="8" spans="1:4" x14ac:dyDescent="0.3">
      <c r="A8" s="5" t="s">
        <v>75</v>
      </c>
      <c r="B8">
        <v>849</v>
      </c>
      <c r="C8">
        <v>1648</v>
      </c>
      <c r="D8">
        <v>2497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A8BC3-A6A0-455C-9F23-4329739062E1}">
  <dimension ref="A1:C6"/>
  <sheetViews>
    <sheetView workbookViewId="0"/>
  </sheetViews>
  <sheetFormatPr defaultRowHeight="14.4" x14ac:dyDescent="0.3"/>
  <cols>
    <col min="1" max="1" width="17" bestFit="1" customWidth="1"/>
    <col min="2" max="2" width="15.5546875" bestFit="1" customWidth="1"/>
    <col min="3" max="3" width="10.77734375" bestFit="1" customWidth="1"/>
  </cols>
  <sheetData>
    <row r="1" spans="1:3" x14ac:dyDescent="0.3">
      <c r="A1" s="4" t="s">
        <v>78</v>
      </c>
      <c r="B1" t="s">
        <v>85</v>
      </c>
    </row>
    <row r="3" spans="1:3" x14ac:dyDescent="0.3">
      <c r="A3" s="4" t="s">
        <v>77</v>
      </c>
      <c r="B3" s="4" t="s">
        <v>76</v>
      </c>
    </row>
    <row r="4" spans="1:3" x14ac:dyDescent="0.3">
      <c r="A4" s="4" t="s">
        <v>74</v>
      </c>
      <c r="B4" t="s">
        <v>6</v>
      </c>
      <c r="C4" t="s">
        <v>75</v>
      </c>
    </row>
    <row r="5" spans="1:3" x14ac:dyDescent="0.3">
      <c r="A5" s="5" t="s">
        <v>9</v>
      </c>
      <c r="B5">
        <v>1099</v>
      </c>
      <c r="C5">
        <v>1099</v>
      </c>
    </row>
    <row r="6" spans="1:3" x14ac:dyDescent="0.3">
      <c r="A6" s="5" t="s">
        <v>75</v>
      </c>
      <c r="B6">
        <v>1099</v>
      </c>
      <c r="C6">
        <v>1099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D7D58-A311-48AC-B568-66C083277F5A}">
  <dimension ref="A1:E6"/>
  <sheetViews>
    <sheetView workbookViewId="0"/>
  </sheetViews>
  <sheetFormatPr defaultRowHeight="14.4" x14ac:dyDescent="0.3"/>
  <cols>
    <col min="1" max="1" width="17" bestFit="1" customWidth="1"/>
    <col min="2" max="2" width="15.5546875" bestFit="1" customWidth="1"/>
    <col min="3" max="3" width="6.88671875" bestFit="1" customWidth="1"/>
    <col min="4" max="4" width="9.109375" bestFit="1" customWidth="1"/>
    <col min="5" max="5" width="10.77734375" bestFit="1" customWidth="1"/>
  </cols>
  <sheetData>
    <row r="1" spans="1:5" x14ac:dyDescent="0.3">
      <c r="A1" s="4" t="s">
        <v>78</v>
      </c>
      <c r="B1" t="s">
        <v>84</v>
      </c>
    </row>
    <row r="3" spans="1:5" x14ac:dyDescent="0.3">
      <c r="A3" s="4" t="s">
        <v>77</v>
      </c>
      <c r="B3" s="4" t="s">
        <v>76</v>
      </c>
    </row>
    <row r="4" spans="1:5" x14ac:dyDescent="0.3">
      <c r="A4" s="4" t="s">
        <v>74</v>
      </c>
      <c r="B4" t="s">
        <v>6</v>
      </c>
      <c r="C4" t="s">
        <v>14</v>
      </c>
      <c r="D4" t="s">
        <v>20</v>
      </c>
      <c r="E4" t="s">
        <v>75</v>
      </c>
    </row>
    <row r="5" spans="1:5" x14ac:dyDescent="0.3">
      <c r="A5" s="5" t="s">
        <v>9</v>
      </c>
      <c r="B5">
        <v>1999</v>
      </c>
      <c r="C5">
        <v>899</v>
      </c>
      <c r="D5">
        <v>899</v>
      </c>
      <c r="E5">
        <v>3797</v>
      </c>
    </row>
    <row r="6" spans="1:5" x14ac:dyDescent="0.3">
      <c r="A6" s="5" t="s">
        <v>75</v>
      </c>
      <c r="B6">
        <v>1999</v>
      </c>
      <c r="C6">
        <v>899</v>
      </c>
      <c r="D6">
        <v>899</v>
      </c>
      <c r="E6">
        <v>3797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DA942-FED6-484E-A87B-2E637BF6B07D}">
  <dimension ref="A1:D7"/>
  <sheetViews>
    <sheetView workbookViewId="0"/>
  </sheetViews>
  <sheetFormatPr defaultRowHeight="14.4" x14ac:dyDescent="0.3"/>
  <cols>
    <col min="1" max="1" width="17" bestFit="1" customWidth="1"/>
    <col min="2" max="2" width="15.5546875" bestFit="1" customWidth="1"/>
    <col min="3" max="3" width="5.21875" bestFit="1" customWidth="1"/>
    <col min="4" max="4" width="10.77734375" bestFit="1" customWidth="1"/>
  </cols>
  <sheetData>
    <row r="1" spans="1:4" x14ac:dyDescent="0.3">
      <c r="A1" s="4" t="s">
        <v>78</v>
      </c>
      <c r="B1" t="s">
        <v>83</v>
      </c>
    </row>
    <row r="3" spans="1:4" x14ac:dyDescent="0.3">
      <c r="A3" s="4" t="s">
        <v>77</v>
      </c>
      <c r="B3" s="4" t="s">
        <v>76</v>
      </c>
    </row>
    <row r="4" spans="1:4" x14ac:dyDescent="0.3">
      <c r="A4" s="4" t="s">
        <v>74</v>
      </c>
      <c r="B4" t="s">
        <v>20</v>
      </c>
      <c r="C4" t="s">
        <v>17</v>
      </c>
      <c r="D4" t="s">
        <v>75</v>
      </c>
    </row>
    <row r="5" spans="1:4" x14ac:dyDescent="0.3">
      <c r="A5" s="5" t="s">
        <v>19</v>
      </c>
      <c r="C5">
        <v>499</v>
      </c>
      <c r="D5">
        <v>499</v>
      </c>
    </row>
    <row r="6" spans="1:4" x14ac:dyDescent="0.3">
      <c r="A6" s="5" t="s">
        <v>9</v>
      </c>
      <c r="B6">
        <v>499</v>
      </c>
      <c r="D6">
        <v>499</v>
      </c>
    </row>
    <row r="7" spans="1:4" x14ac:dyDescent="0.3">
      <c r="A7" s="5" t="s">
        <v>75</v>
      </c>
      <c r="B7">
        <v>499</v>
      </c>
      <c r="C7">
        <v>499</v>
      </c>
      <c r="D7">
        <v>998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69AF-5A12-4A1D-ACC4-C4697E87E6CE}">
  <dimension ref="A1:C6"/>
  <sheetViews>
    <sheetView workbookViewId="0"/>
  </sheetViews>
  <sheetFormatPr defaultRowHeight="14.4" x14ac:dyDescent="0.3"/>
  <cols>
    <col min="1" max="1" width="17" bestFit="1" customWidth="1"/>
    <col min="2" max="2" width="15.5546875" bestFit="1" customWidth="1"/>
    <col min="3" max="3" width="10.77734375" bestFit="1" customWidth="1"/>
  </cols>
  <sheetData>
    <row r="1" spans="1:3" x14ac:dyDescent="0.3">
      <c r="A1" s="4" t="s">
        <v>78</v>
      </c>
      <c r="B1" t="s">
        <v>82</v>
      </c>
    </row>
    <row r="3" spans="1:3" x14ac:dyDescent="0.3">
      <c r="A3" s="4" t="s">
        <v>77</v>
      </c>
      <c r="B3" s="4" t="s">
        <v>76</v>
      </c>
    </row>
    <row r="4" spans="1:3" x14ac:dyDescent="0.3">
      <c r="A4" s="4" t="s">
        <v>74</v>
      </c>
      <c r="B4" t="s">
        <v>23</v>
      </c>
      <c r="C4" t="s">
        <v>75</v>
      </c>
    </row>
    <row r="5" spans="1:3" x14ac:dyDescent="0.3">
      <c r="A5" s="5" t="s">
        <v>31</v>
      </c>
      <c r="B5">
        <v>499</v>
      </c>
      <c r="C5">
        <v>499</v>
      </c>
    </row>
    <row r="6" spans="1:3" x14ac:dyDescent="0.3">
      <c r="A6" s="5" t="s">
        <v>75</v>
      </c>
      <c r="B6">
        <v>499</v>
      </c>
      <c r="C6">
        <v>499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A7337-CB6B-4C2C-8DD0-C78C0FC3C6F9}">
  <dimension ref="A1:C6"/>
  <sheetViews>
    <sheetView workbookViewId="0"/>
  </sheetViews>
  <sheetFormatPr defaultRowHeight="14.4" x14ac:dyDescent="0.3"/>
  <cols>
    <col min="1" max="1" width="17" bestFit="1" customWidth="1"/>
    <col min="2" max="2" width="15.5546875" bestFit="1" customWidth="1"/>
    <col min="3" max="3" width="10.77734375" bestFit="1" customWidth="1"/>
  </cols>
  <sheetData>
    <row r="1" spans="1:3" x14ac:dyDescent="0.3">
      <c r="A1" s="4" t="s">
        <v>78</v>
      </c>
      <c r="B1" t="s">
        <v>80</v>
      </c>
    </row>
    <row r="3" spans="1:3" x14ac:dyDescent="0.3">
      <c r="A3" s="4" t="s">
        <v>77</v>
      </c>
      <c r="B3" s="4" t="s">
        <v>76</v>
      </c>
    </row>
    <row r="4" spans="1:3" x14ac:dyDescent="0.3">
      <c r="A4" s="4" t="s">
        <v>74</v>
      </c>
      <c r="B4" t="s">
        <v>80</v>
      </c>
      <c r="C4" t="s">
        <v>75</v>
      </c>
    </row>
    <row r="5" spans="1:3" x14ac:dyDescent="0.3">
      <c r="A5" s="5" t="s">
        <v>80</v>
      </c>
    </row>
    <row r="6" spans="1:3" x14ac:dyDescent="0.3">
      <c r="A6" s="5" t="s">
        <v>75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601EE-E6FF-4D2C-A4A7-DF7CF963AB8A}">
  <sheetPr>
    <tabColor theme="6"/>
  </sheetPr>
  <dimension ref="A1:M12"/>
  <sheetViews>
    <sheetView workbookViewId="0">
      <selection activeCell="A3" sqref="A3"/>
    </sheetView>
  </sheetViews>
  <sheetFormatPr defaultRowHeight="14.4" x14ac:dyDescent="0.3"/>
  <cols>
    <col min="1" max="1" width="17" bestFit="1" customWidth="1"/>
    <col min="2" max="2" width="15.5546875" bestFit="1" customWidth="1"/>
    <col min="3" max="3" width="5.88671875" bestFit="1" customWidth="1"/>
    <col min="4" max="5" width="5" bestFit="1" customWidth="1"/>
    <col min="6" max="6" width="6.88671875" bestFit="1" customWidth="1"/>
    <col min="7" max="7" width="5" bestFit="1" customWidth="1"/>
    <col min="8" max="8" width="7.21875" bestFit="1" customWidth="1"/>
    <col min="9" max="9" width="9.109375" bestFit="1" customWidth="1"/>
    <col min="10" max="10" width="8.6640625" bestFit="1" customWidth="1"/>
    <col min="11" max="11" width="5.21875" bestFit="1" customWidth="1"/>
    <col min="12" max="12" width="7" bestFit="1" customWidth="1"/>
    <col min="13" max="13" width="10.77734375" bestFit="1" customWidth="1"/>
  </cols>
  <sheetData>
    <row r="1" spans="1:13" x14ac:dyDescent="0.3">
      <c r="A1" s="4" t="s">
        <v>78</v>
      </c>
      <c r="B1" t="s">
        <v>81</v>
      </c>
    </row>
    <row r="3" spans="1:13" x14ac:dyDescent="0.3">
      <c r="A3" s="4" t="s">
        <v>77</v>
      </c>
      <c r="B3" s="4" t="s">
        <v>76</v>
      </c>
    </row>
    <row r="4" spans="1:13" x14ac:dyDescent="0.3">
      <c r="A4" s="4" t="s">
        <v>74</v>
      </c>
      <c r="B4" t="s">
        <v>36</v>
      </c>
      <c r="C4" t="s">
        <v>6</v>
      </c>
      <c r="D4" t="s">
        <v>32</v>
      </c>
      <c r="E4" t="s">
        <v>23</v>
      </c>
      <c r="F4" t="s">
        <v>14</v>
      </c>
      <c r="G4" t="s">
        <v>25</v>
      </c>
      <c r="H4" t="s">
        <v>28</v>
      </c>
      <c r="I4" t="s">
        <v>20</v>
      </c>
      <c r="J4" t="s">
        <v>10</v>
      </c>
      <c r="K4" t="s">
        <v>17</v>
      </c>
      <c r="L4" t="s">
        <v>80</v>
      </c>
      <c r="M4" t="s">
        <v>75</v>
      </c>
    </row>
    <row r="5" spans="1:13" x14ac:dyDescent="0.3">
      <c r="A5" s="5" t="s">
        <v>31</v>
      </c>
      <c r="E5">
        <v>499</v>
      </c>
      <c r="H5">
        <v>3927</v>
      </c>
      <c r="M5">
        <v>4426</v>
      </c>
    </row>
    <row r="6" spans="1:13" x14ac:dyDescent="0.3">
      <c r="A6" s="5" t="s">
        <v>19</v>
      </c>
      <c r="K6">
        <v>1798</v>
      </c>
      <c r="M6">
        <v>1798</v>
      </c>
    </row>
    <row r="7" spans="1:13" x14ac:dyDescent="0.3">
      <c r="A7" s="5" t="s">
        <v>63</v>
      </c>
      <c r="K7">
        <v>349</v>
      </c>
      <c r="M7">
        <v>349</v>
      </c>
    </row>
    <row r="8" spans="1:13" x14ac:dyDescent="0.3">
      <c r="A8" s="5" t="s">
        <v>13</v>
      </c>
      <c r="J8">
        <v>3747</v>
      </c>
      <c r="M8">
        <v>3747</v>
      </c>
    </row>
    <row r="9" spans="1:13" x14ac:dyDescent="0.3">
      <c r="A9" s="5" t="s">
        <v>35</v>
      </c>
      <c r="B9">
        <v>2597</v>
      </c>
      <c r="D9">
        <v>3497</v>
      </c>
      <c r="M9">
        <v>6094</v>
      </c>
    </row>
    <row r="10" spans="1:13" x14ac:dyDescent="0.3">
      <c r="A10" s="5" t="s">
        <v>9</v>
      </c>
      <c r="C10">
        <v>4197</v>
      </c>
      <c r="E10">
        <v>2998</v>
      </c>
      <c r="F10">
        <v>1777</v>
      </c>
      <c r="G10">
        <v>3897</v>
      </c>
      <c r="I10">
        <v>2397</v>
      </c>
      <c r="M10">
        <v>15266</v>
      </c>
    </row>
    <row r="11" spans="1:13" x14ac:dyDescent="0.3">
      <c r="A11" s="5" t="s">
        <v>80</v>
      </c>
    </row>
    <row r="12" spans="1:13" x14ac:dyDescent="0.3">
      <c r="A12" s="5" t="s">
        <v>75</v>
      </c>
      <c r="B12">
        <v>2597</v>
      </c>
      <c r="C12">
        <v>4197</v>
      </c>
      <c r="D12">
        <v>3497</v>
      </c>
      <c r="E12">
        <v>3497</v>
      </c>
      <c r="F12">
        <v>1777</v>
      </c>
      <c r="G12">
        <v>3897</v>
      </c>
      <c r="H12">
        <v>3927</v>
      </c>
      <c r="I12">
        <v>2397</v>
      </c>
      <c r="J12">
        <v>3747</v>
      </c>
      <c r="K12">
        <v>2147</v>
      </c>
      <c r="M12">
        <v>31680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B7A38-912A-423E-BBE0-3BFFE63AF13B}">
  <sheetPr>
    <tabColor rgb="FF002060"/>
  </sheetPr>
  <dimension ref="A3:B52"/>
  <sheetViews>
    <sheetView topLeftCell="A13" workbookViewId="0">
      <selection activeCell="A7" sqref="A7"/>
    </sheetView>
  </sheetViews>
  <sheetFormatPr defaultRowHeight="14.4" x14ac:dyDescent="0.3"/>
  <cols>
    <col min="1" max="1" width="12.5546875" bestFit="1" customWidth="1"/>
    <col min="2" max="2" width="17" bestFit="1" customWidth="1"/>
    <col min="3" max="3" width="5.88671875" bestFit="1" customWidth="1"/>
    <col min="4" max="4" width="8.44140625" bestFit="1" customWidth="1"/>
    <col min="5" max="5" width="11.33203125" bestFit="1" customWidth="1"/>
    <col min="6" max="6" width="7" bestFit="1" customWidth="1"/>
    <col min="7" max="7" width="12.21875" bestFit="1" customWidth="1"/>
    <col min="8" max="8" width="7" bestFit="1" customWidth="1"/>
    <col min="9" max="9" width="10.77734375" bestFit="1" customWidth="1"/>
    <col min="10" max="10" width="9" bestFit="1" customWidth="1"/>
    <col min="11" max="11" width="4.77734375" bestFit="1" customWidth="1"/>
    <col min="12" max="12" width="8" bestFit="1" customWidth="1"/>
    <col min="13" max="13" width="7.6640625" bestFit="1" customWidth="1"/>
    <col min="14" max="14" width="4.88671875" bestFit="1" customWidth="1"/>
    <col min="15" max="15" width="9.21875" bestFit="1" customWidth="1"/>
    <col min="16" max="16" width="10.5546875" bestFit="1" customWidth="1"/>
    <col min="17" max="17" width="8.33203125" bestFit="1" customWidth="1"/>
    <col min="18" max="18" width="5" bestFit="1" customWidth="1"/>
    <col min="19" max="20" width="7.33203125" bestFit="1" customWidth="1"/>
    <col min="21" max="21" width="5.21875" bestFit="1" customWidth="1"/>
    <col min="23" max="23" width="5" bestFit="1" customWidth="1"/>
    <col min="24" max="24" width="10" bestFit="1" customWidth="1"/>
    <col min="25" max="25" width="4" bestFit="1" customWidth="1"/>
    <col min="26" max="26" width="5.21875" bestFit="1" customWidth="1"/>
    <col min="27" max="27" width="6.33203125" bestFit="1" customWidth="1"/>
    <col min="28" max="28" width="4.21875" bestFit="1" customWidth="1"/>
    <col min="29" max="29" width="8.44140625" bestFit="1" customWidth="1"/>
    <col min="30" max="30" width="7" bestFit="1" customWidth="1"/>
    <col min="31" max="31" width="10.77734375" bestFit="1" customWidth="1"/>
  </cols>
  <sheetData>
    <row r="3" spans="1:2" x14ac:dyDescent="0.3">
      <c r="A3" s="4" t="s">
        <v>74</v>
      </c>
      <c r="B3" t="s">
        <v>77</v>
      </c>
    </row>
    <row r="4" spans="1:2" x14ac:dyDescent="0.3">
      <c r="A4" s="5" t="s">
        <v>36</v>
      </c>
      <c r="B4">
        <v>2597</v>
      </c>
    </row>
    <row r="5" spans="1:2" x14ac:dyDescent="0.3">
      <c r="A5" s="5" t="s">
        <v>6</v>
      </c>
      <c r="B5">
        <v>4197</v>
      </c>
    </row>
    <row r="6" spans="1:2" x14ac:dyDescent="0.3">
      <c r="A6" s="5" t="s">
        <v>32</v>
      </c>
      <c r="B6">
        <v>3497</v>
      </c>
    </row>
    <row r="7" spans="1:2" x14ac:dyDescent="0.3">
      <c r="A7" s="5" t="s">
        <v>23</v>
      </c>
      <c r="B7">
        <v>3497</v>
      </c>
    </row>
    <row r="8" spans="1:2" x14ac:dyDescent="0.3">
      <c r="A8" s="5" t="s">
        <v>14</v>
      </c>
      <c r="B8">
        <v>1777</v>
      </c>
    </row>
    <row r="9" spans="1:2" x14ac:dyDescent="0.3">
      <c r="A9" s="5" t="s">
        <v>25</v>
      </c>
      <c r="B9">
        <v>3897</v>
      </c>
    </row>
    <row r="10" spans="1:2" x14ac:dyDescent="0.3">
      <c r="A10" s="5" t="s">
        <v>28</v>
      </c>
      <c r="B10">
        <v>3927</v>
      </c>
    </row>
    <row r="11" spans="1:2" x14ac:dyDescent="0.3">
      <c r="A11" s="5" t="s">
        <v>20</v>
      </c>
      <c r="B11">
        <v>2397</v>
      </c>
    </row>
    <row r="12" spans="1:2" x14ac:dyDescent="0.3">
      <c r="A12" s="5" t="s">
        <v>10</v>
      </c>
      <c r="B12">
        <v>3747</v>
      </c>
    </row>
    <row r="13" spans="1:2" x14ac:dyDescent="0.3">
      <c r="A13" s="5" t="s">
        <v>17</v>
      </c>
      <c r="B13">
        <v>2147</v>
      </c>
    </row>
    <row r="14" spans="1:2" x14ac:dyDescent="0.3">
      <c r="A14" s="5" t="s">
        <v>80</v>
      </c>
    </row>
    <row r="15" spans="1:2" x14ac:dyDescent="0.3">
      <c r="A15" s="5" t="s">
        <v>75</v>
      </c>
      <c r="B15">
        <v>31680</v>
      </c>
    </row>
    <row r="22" spans="1:2" x14ac:dyDescent="0.3">
      <c r="A22" s="4" t="s">
        <v>74</v>
      </c>
      <c r="B22" t="s">
        <v>77</v>
      </c>
    </row>
    <row r="23" spans="1:2" x14ac:dyDescent="0.3">
      <c r="A23" s="5">
        <v>3</v>
      </c>
      <c r="B23">
        <v>699</v>
      </c>
    </row>
    <row r="24" spans="1:2" x14ac:dyDescent="0.3">
      <c r="A24" s="5">
        <v>5</v>
      </c>
      <c r="B24">
        <v>1098</v>
      </c>
    </row>
    <row r="25" spans="1:2" x14ac:dyDescent="0.3">
      <c r="A25" s="5">
        <v>13</v>
      </c>
      <c r="B25">
        <v>999</v>
      </c>
    </row>
    <row r="26" spans="1:2" x14ac:dyDescent="0.3">
      <c r="A26" s="5">
        <v>14</v>
      </c>
      <c r="B26">
        <v>799</v>
      </c>
    </row>
    <row r="27" spans="1:2" x14ac:dyDescent="0.3">
      <c r="A27" s="5" t="s">
        <v>46</v>
      </c>
      <c r="B27">
        <v>1299</v>
      </c>
    </row>
    <row r="28" spans="1:2" x14ac:dyDescent="0.3">
      <c r="A28" s="5" t="s">
        <v>62</v>
      </c>
      <c r="B28">
        <v>349</v>
      </c>
    </row>
    <row r="29" spans="1:2" x14ac:dyDescent="0.3">
      <c r="A29" s="5" t="s">
        <v>8</v>
      </c>
      <c r="B29">
        <v>1099</v>
      </c>
    </row>
    <row r="30" spans="1:2" x14ac:dyDescent="0.3">
      <c r="A30" s="5" t="s">
        <v>53</v>
      </c>
      <c r="B30">
        <v>999</v>
      </c>
    </row>
    <row r="31" spans="1:2" x14ac:dyDescent="0.3">
      <c r="A31" s="5" t="s">
        <v>16</v>
      </c>
      <c r="B31">
        <v>899</v>
      </c>
    </row>
    <row r="32" spans="1:2" x14ac:dyDescent="0.3">
      <c r="A32" s="5" t="s">
        <v>70</v>
      </c>
      <c r="B32">
        <v>1499</v>
      </c>
    </row>
    <row r="33" spans="1:2" x14ac:dyDescent="0.3">
      <c r="A33" s="5" t="s">
        <v>68</v>
      </c>
      <c r="B33">
        <v>1799</v>
      </c>
    </row>
    <row r="34" spans="1:2" x14ac:dyDescent="0.3">
      <c r="A34" s="5" t="s">
        <v>42</v>
      </c>
      <c r="B34">
        <v>1699</v>
      </c>
    </row>
    <row r="35" spans="1:2" x14ac:dyDescent="0.3">
      <c r="A35" s="5" t="s">
        <v>72</v>
      </c>
      <c r="B35">
        <v>1199</v>
      </c>
    </row>
    <row r="36" spans="1:2" x14ac:dyDescent="0.3">
      <c r="A36" s="5" t="s">
        <v>44</v>
      </c>
      <c r="B36">
        <v>649</v>
      </c>
    </row>
    <row r="37" spans="1:2" x14ac:dyDescent="0.3">
      <c r="A37" s="5" t="s">
        <v>38</v>
      </c>
      <c r="B37">
        <v>1299</v>
      </c>
    </row>
    <row r="38" spans="1:2" x14ac:dyDescent="0.3">
      <c r="A38" s="5" t="s">
        <v>60</v>
      </c>
      <c r="B38">
        <v>229</v>
      </c>
    </row>
    <row r="39" spans="1:2" x14ac:dyDescent="0.3">
      <c r="A39" s="5" t="s">
        <v>22</v>
      </c>
      <c r="B39">
        <v>999</v>
      </c>
    </row>
    <row r="40" spans="1:2" x14ac:dyDescent="0.3">
      <c r="A40" s="5" t="s">
        <v>50</v>
      </c>
      <c r="B40">
        <v>1999</v>
      </c>
    </row>
    <row r="41" spans="1:2" x14ac:dyDescent="0.3">
      <c r="A41" s="5" t="s">
        <v>57</v>
      </c>
      <c r="B41">
        <v>1099</v>
      </c>
    </row>
    <row r="42" spans="1:2" x14ac:dyDescent="0.3">
      <c r="A42" s="5" t="s">
        <v>40</v>
      </c>
      <c r="B42">
        <v>1999</v>
      </c>
    </row>
    <row r="43" spans="1:2" x14ac:dyDescent="0.3">
      <c r="A43" s="5" t="s">
        <v>64</v>
      </c>
      <c r="B43">
        <v>899</v>
      </c>
    </row>
    <row r="44" spans="1:2" x14ac:dyDescent="0.3">
      <c r="A44" s="5" t="s">
        <v>12</v>
      </c>
      <c r="B44">
        <v>1199</v>
      </c>
    </row>
    <row r="45" spans="1:2" x14ac:dyDescent="0.3">
      <c r="A45" s="5" t="s">
        <v>48</v>
      </c>
      <c r="B45">
        <v>499</v>
      </c>
    </row>
    <row r="46" spans="1:2" x14ac:dyDescent="0.3">
      <c r="A46" s="5" t="s">
        <v>58</v>
      </c>
      <c r="B46">
        <v>849</v>
      </c>
    </row>
    <row r="47" spans="1:2" x14ac:dyDescent="0.3">
      <c r="A47" s="5" t="s">
        <v>66</v>
      </c>
      <c r="B47">
        <v>499</v>
      </c>
    </row>
    <row r="48" spans="1:2" x14ac:dyDescent="0.3">
      <c r="A48" s="5" t="s">
        <v>30</v>
      </c>
      <c r="B48">
        <v>1429</v>
      </c>
    </row>
    <row r="49" spans="1:2" x14ac:dyDescent="0.3">
      <c r="A49" s="5" t="s">
        <v>27</v>
      </c>
      <c r="B49">
        <v>2098</v>
      </c>
    </row>
    <row r="50" spans="1:2" x14ac:dyDescent="0.3">
      <c r="A50" s="5" t="s">
        <v>34</v>
      </c>
      <c r="B50">
        <v>1499</v>
      </c>
    </row>
    <row r="51" spans="1:2" x14ac:dyDescent="0.3">
      <c r="A51" s="5" t="s">
        <v>80</v>
      </c>
    </row>
    <row r="52" spans="1:2" x14ac:dyDescent="0.3">
      <c r="A52" s="5" t="s">
        <v>75</v>
      </c>
      <c r="B52">
        <v>31680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4CE2-A86C-4D2E-9733-97B72BA422B5}">
  <sheetPr>
    <tabColor theme="9"/>
  </sheetPr>
  <dimension ref="A3:B4"/>
  <sheetViews>
    <sheetView workbookViewId="0">
      <selection activeCell="O7" sqref="O7"/>
    </sheetView>
  </sheetViews>
  <sheetFormatPr defaultRowHeight="14.4" x14ac:dyDescent="0.3"/>
  <cols>
    <col min="1" max="1" width="12.5546875" bestFit="1" customWidth="1"/>
    <col min="2" max="2" width="17" bestFit="1" customWidth="1"/>
  </cols>
  <sheetData>
    <row r="3" spans="1:2" x14ac:dyDescent="0.3">
      <c r="A3" s="4" t="s">
        <v>74</v>
      </c>
      <c r="B3" t="s">
        <v>77</v>
      </c>
    </row>
    <row r="4" spans="1:2" x14ac:dyDescent="0.3">
      <c r="A4" s="5" t="s">
        <v>75</v>
      </c>
      <c r="B4" s="8"/>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DC410-25D7-4BF7-A342-3E36DC2FF633}">
  <sheetPr>
    <tabColor theme="5"/>
  </sheetPr>
  <dimension ref="A1:G31"/>
  <sheetViews>
    <sheetView tabSelected="1" workbookViewId="0">
      <selection activeCell="F15" sqref="F15"/>
    </sheetView>
  </sheetViews>
  <sheetFormatPr defaultRowHeight="14.4" x14ac:dyDescent="0.3"/>
  <cols>
    <col min="1" max="1" width="9" bestFit="1" customWidth="1"/>
    <col min="2" max="2" width="10.109375" bestFit="1" customWidth="1"/>
    <col min="3" max="3" width="11.88671875" bestFit="1" customWidth="1"/>
    <col min="4" max="4" width="17.33203125" bestFit="1" customWidth="1"/>
    <col min="5" max="5" width="15.6640625" bestFit="1" customWidth="1"/>
    <col min="6" max="6" width="15.6640625" customWidth="1"/>
    <col min="7" max="7" width="11.33203125" bestFit="1" customWidth="1"/>
  </cols>
  <sheetData>
    <row r="1" spans="1:7" ht="15.6" x14ac:dyDescent="0.3">
      <c r="A1" s="1" t="s">
        <v>0</v>
      </c>
      <c r="B1" s="1" t="s">
        <v>1</v>
      </c>
      <c r="C1" s="1" t="s">
        <v>2</v>
      </c>
      <c r="D1" s="1" t="s">
        <v>3</v>
      </c>
      <c r="E1" s="1" t="s">
        <v>4</v>
      </c>
      <c r="F1" s="7" t="s">
        <v>78</v>
      </c>
      <c r="G1" s="1" t="s">
        <v>5</v>
      </c>
    </row>
    <row r="2" spans="1:7" x14ac:dyDescent="0.3">
      <c r="A2" s="2" t="s">
        <v>6</v>
      </c>
      <c r="B2" s="2" t="s">
        <v>7</v>
      </c>
      <c r="C2" s="2" t="s">
        <v>8</v>
      </c>
      <c r="D2" s="2" t="s">
        <v>9</v>
      </c>
      <c r="E2" s="3">
        <v>44463</v>
      </c>
      <c r="F2" s="3" t="str">
        <f>TEXT(E2,"MMMM")</f>
        <v>September</v>
      </c>
      <c r="G2" s="2">
        <v>1099</v>
      </c>
    </row>
    <row r="3" spans="1:7" x14ac:dyDescent="0.3">
      <c r="A3" s="2" t="s">
        <v>10</v>
      </c>
      <c r="B3" s="2" t="s">
        <v>11</v>
      </c>
      <c r="C3" s="2" t="s">
        <v>12</v>
      </c>
      <c r="D3" s="2" t="s">
        <v>13</v>
      </c>
      <c r="E3" s="3">
        <v>44225</v>
      </c>
      <c r="F3" s="3" t="str">
        <f t="shared" ref="F3:F31" si="0">TEXT(E3,"MMMM")</f>
        <v>January</v>
      </c>
      <c r="G3" s="2">
        <v>1199</v>
      </c>
    </row>
    <row r="4" spans="1:7" x14ac:dyDescent="0.3">
      <c r="A4" s="2" t="s">
        <v>14</v>
      </c>
      <c r="B4" s="2" t="s">
        <v>15</v>
      </c>
      <c r="C4" s="2" t="s">
        <v>16</v>
      </c>
      <c r="D4" s="2" t="s">
        <v>9</v>
      </c>
      <c r="E4" s="3">
        <v>44488</v>
      </c>
      <c r="F4" s="3" t="str">
        <f t="shared" si="0"/>
        <v>October</v>
      </c>
      <c r="G4" s="2">
        <v>899</v>
      </c>
    </row>
    <row r="5" spans="1:7" x14ac:dyDescent="0.3">
      <c r="A5" s="2" t="s">
        <v>17</v>
      </c>
      <c r="B5" s="2" t="s">
        <v>18</v>
      </c>
      <c r="C5" s="2">
        <v>5</v>
      </c>
      <c r="D5" s="2" t="s">
        <v>19</v>
      </c>
      <c r="E5" s="3">
        <v>44147</v>
      </c>
      <c r="F5" s="3" t="str">
        <f t="shared" si="0"/>
        <v>November</v>
      </c>
      <c r="G5" s="2">
        <v>499</v>
      </c>
    </row>
    <row r="6" spans="1:7" x14ac:dyDescent="0.3">
      <c r="A6" s="2" t="s">
        <v>20</v>
      </c>
      <c r="B6" s="2" t="s">
        <v>21</v>
      </c>
      <c r="C6" s="2" t="s">
        <v>22</v>
      </c>
      <c r="D6" s="2" t="s">
        <v>9</v>
      </c>
      <c r="E6" s="3">
        <v>44301</v>
      </c>
      <c r="F6" s="3" t="str">
        <f t="shared" si="0"/>
        <v>April</v>
      </c>
      <c r="G6" s="2">
        <v>999</v>
      </c>
    </row>
    <row r="7" spans="1:7" x14ac:dyDescent="0.3">
      <c r="A7" s="2" t="s">
        <v>23</v>
      </c>
      <c r="B7" s="2" t="s">
        <v>24</v>
      </c>
      <c r="C7" s="2">
        <v>13</v>
      </c>
      <c r="D7" s="2" t="s">
        <v>9</v>
      </c>
      <c r="E7" s="3">
        <v>44224</v>
      </c>
      <c r="F7" s="3" t="str">
        <f t="shared" si="0"/>
        <v>January</v>
      </c>
      <c r="G7" s="2">
        <v>999</v>
      </c>
    </row>
    <row r="8" spans="1:7" x14ac:dyDescent="0.3">
      <c r="A8" s="2" t="s">
        <v>25</v>
      </c>
      <c r="B8" s="2" t="s">
        <v>26</v>
      </c>
      <c r="C8" s="2" t="s">
        <v>27</v>
      </c>
      <c r="D8" s="2" t="s">
        <v>9</v>
      </c>
      <c r="E8" s="3">
        <v>44302</v>
      </c>
      <c r="F8" s="3" t="str">
        <f t="shared" si="0"/>
        <v>April</v>
      </c>
      <c r="G8" s="2">
        <v>1349</v>
      </c>
    </row>
    <row r="9" spans="1:7" x14ac:dyDescent="0.3">
      <c r="A9" s="2" t="s">
        <v>28</v>
      </c>
      <c r="B9" s="2" t="s">
        <v>29</v>
      </c>
      <c r="C9" s="2" t="s">
        <v>30</v>
      </c>
      <c r="D9" s="2" t="s">
        <v>31</v>
      </c>
      <c r="E9" s="3">
        <v>44242</v>
      </c>
      <c r="F9" s="3" t="str">
        <f t="shared" si="0"/>
        <v>February</v>
      </c>
      <c r="G9" s="2">
        <v>1429</v>
      </c>
    </row>
    <row r="10" spans="1:7" x14ac:dyDescent="0.3">
      <c r="A10" s="2" t="s">
        <v>32</v>
      </c>
      <c r="B10" s="2" t="s">
        <v>33</v>
      </c>
      <c r="C10" s="2" t="s">
        <v>34</v>
      </c>
      <c r="D10" s="2" t="s">
        <v>35</v>
      </c>
      <c r="E10" s="3">
        <v>44270</v>
      </c>
      <c r="F10" s="3" t="str">
        <f t="shared" si="0"/>
        <v>March</v>
      </c>
      <c r="G10" s="2">
        <v>1499</v>
      </c>
    </row>
    <row r="11" spans="1:7" x14ac:dyDescent="0.3">
      <c r="A11" s="2" t="s">
        <v>36</v>
      </c>
      <c r="B11" s="2" t="s">
        <v>37</v>
      </c>
      <c r="C11" s="2" t="s">
        <v>38</v>
      </c>
      <c r="D11" s="2" t="s">
        <v>35</v>
      </c>
      <c r="E11" s="3">
        <v>44244</v>
      </c>
      <c r="F11" s="3" t="str">
        <f t="shared" si="0"/>
        <v>February</v>
      </c>
      <c r="G11" s="2">
        <v>1299</v>
      </c>
    </row>
    <row r="12" spans="1:7" x14ac:dyDescent="0.3">
      <c r="A12" s="2" t="s">
        <v>6</v>
      </c>
      <c r="B12" s="2" t="s">
        <v>39</v>
      </c>
      <c r="C12" s="2" t="s">
        <v>40</v>
      </c>
      <c r="D12" s="2" t="s">
        <v>9</v>
      </c>
      <c r="E12" s="3">
        <v>44495</v>
      </c>
      <c r="F12" s="3" t="str">
        <f t="shared" si="0"/>
        <v>October</v>
      </c>
      <c r="G12" s="2">
        <v>1999</v>
      </c>
    </row>
    <row r="13" spans="1:7" x14ac:dyDescent="0.3">
      <c r="A13" s="2" t="s">
        <v>10</v>
      </c>
      <c r="B13" s="2" t="s">
        <v>41</v>
      </c>
      <c r="C13" s="2" t="s">
        <v>42</v>
      </c>
      <c r="D13" s="2" t="s">
        <v>13</v>
      </c>
      <c r="E13" s="3">
        <v>44034</v>
      </c>
      <c r="F13" s="3" t="str">
        <f t="shared" si="0"/>
        <v>July</v>
      </c>
      <c r="G13" s="2">
        <v>1699</v>
      </c>
    </row>
    <row r="14" spans="1:7" x14ac:dyDescent="0.3">
      <c r="A14" s="2" t="s">
        <v>14</v>
      </c>
      <c r="B14" s="2" t="s">
        <v>43</v>
      </c>
      <c r="C14" s="2" t="s">
        <v>44</v>
      </c>
      <c r="D14" s="2" t="s">
        <v>9</v>
      </c>
      <c r="E14" s="3">
        <v>44364</v>
      </c>
      <c r="F14" s="3" t="str">
        <f t="shared" si="0"/>
        <v>June</v>
      </c>
      <c r="G14" s="2">
        <v>649</v>
      </c>
    </row>
    <row r="15" spans="1:7" x14ac:dyDescent="0.3">
      <c r="A15" s="2" t="s">
        <v>17</v>
      </c>
      <c r="B15" s="2" t="s">
        <v>45</v>
      </c>
      <c r="C15" s="2" t="s">
        <v>46</v>
      </c>
      <c r="D15" s="2" t="s">
        <v>19</v>
      </c>
      <c r="E15" s="3">
        <v>44427</v>
      </c>
      <c r="F15" s="3" t="str">
        <f t="shared" si="0"/>
        <v>August</v>
      </c>
      <c r="G15" s="2">
        <v>1299</v>
      </c>
    </row>
    <row r="16" spans="1:7" x14ac:dyDescent="0.3">
      <c r="A16" s="2" t="s">
        <v>20</v>
      </c>
      <c r="B16" s="2" t="s">
        <v>47</v>
      </c>
      <c r="C16" s="2" t="s">
        <v>48</v>
      </c>
      <c r="D16" s="2" t="s">
        <v>9</v>
      </c>
      <c r="E16" s="3">
        <v>44145</v>
      </c>
      <c r="F16" s="3" t="str">
        <f t="shared" si="0"/>
        <v>November</v>
      </c>
      <c r="G16" s="2">
        <v>499</v>
      </c>
    </row>
    <row r="17" spans="1:7" x14ac:dyDescent="0.3">
      <c r="A17" s="2" t="s">
        <v>23</v>
      </c>
      <c r="B17" s="2" t="s">
        <v>49</v>
      </c>
      <c r="C17" s="2" t="s">
        <v>50</v>
      </c>
      <c r="D17" s="2" t="s">
        <v>9</v>
      </c>
      <c r="E17" s="3">
        <v>44306</v>
      </c>
      <c r="F17" s="3" t="str">
        <f t="shared" si="0"/>
        <v>April</v>
      </c>
      <c r="G17" s="2">
        <v>1999</v>
      </c>
    </row>
    <row r="18" spans="1:7" x14ac:dyDescent="0.3">
      <c r="A18" s="2" t="s">
        <v>25</v>
      </c>
      <c r="B18" s="2" t="s">
        <v>51</v>
      </c>
      <c r="C18" s="2" t="s">
        <v>27</v>
      </c>
      <c r="D18" s="2" t="s">
        <v>9</v>
      </c>
      <c r="E18" s="3">
        <v>44330</v>
      </c>
      <c r="F18" s="3" t="str">
        <f t="shared" si="0"/>
        <v>May</v>
      </c>
      <c r="G18" s="2">
        <v>749</v>
      </c>
    </row>
    <row r="19" spans="1:7" x14ac:dyDescent="0.3">
      <c r="A19" s="2" t="s">
        <v>28</v>
      </c>
      <c r="B19" s="2" t="s">
        <v>52</v>
      </c>
      <c r="C19" s="2" t="s">
        <v>53</v>
      </c>
      <c r="D19" s="2" t="s">
        <v>31</v>
      </c>
      <c r="E19" s="3">
        <v>44265</v>
      </c>
      <c r="F19" s="3" t="str">
        <f t="shared" si="0"/>
        <v>March</v>
      </c>
      <c r="G19" s="2">
        <v>999</v>
      </c>
    </row>
    <row r="20" spans="1:7" x14ac:dyDescent="0.3">
      <c r="A20" s="2" t="s">
        <v>32</v>
      </c>
      <c r="B20" s="2" t="s">
        <v>54</v>
      </c>
      <c r="C20" s="2">
        <v>14</v>
      </c>
      <c r="D20" s="2" t="s">
        <v>35</v>
      </c>
      <c r="E20" s="3">
        <v>44211</v>
      </c>
      <c r="F20" s="3" t="str">
        <f t="shared" si="0"/>
        <v>January</v>
      </c>
      <c r="G20" s="2">
        <v>799</v>
      </c>
    </row>
    <row r="21" spans="1:7" x14ac:dyDescent="0.3">
      <c r="A21" s="2" t="s">
        <v>36</v>
      </c>
      <c r="B21" s="2" t="s">
        <v>55</v>
      </c>
      <c r="C21" s="2">
        <v>3</v>
      </c>
      <c r="D21" s="2" t="s">
        <v>35</v>
      </c>
      <c r="E21" s="3">
        <v>44237</v>
      </c>
      <c r="F21" s="3" t="str">
        <f t="shared" si="0"/>
        <v>February</v>
      </c>
      <c r="G21" s="2">
        <v>699</v>
      </c>
    </row>
    <row r="22" spans="1:7" x14ac:dyDescent="0.3">
      <c r="A22" s="2" t="s">
        <v>6</v>
      </c>
      <c r="B22" s="2" t="s">
        <v>56</v>
      </c>
      <c r="C22" s="2" t="s">
        <v>57</v>
      </c>
      <c r="D22" s="2" t="s">
        <v>9</v>
      </c>
      <c r="E22" s="3">
        <v>44337</v>
      </c>
      <c r="F22" s="3" t="str">
        <f t="shared" si="0"/>
        <v>May</v>
      </c>
      <c r="G22" s="2">
        <v>1099</v>
      </c>
    </row>
    <row r="23" spans="1:7" x14ac:dyDescent="0.3">
      <c r="A23" s="2" t="s">
        <v>10</v>
      </c>
      <c r="B23" s="2" t="s">
        <v>11</v>
      </c>
      <c r="C23" s="2" t="s">
        <v>58</v>
      </c>
      <c r="D23" s="2" t="s">
        <v>13</v>
      </c>
      <c r="E23" s="3">
        <v>44064</v>
      </c>
      <c r="F23" s="3" t="str">
        <f t="shared" si="0"/>
        <v>August</v>
      </c>
      <c r="G23" s="2">
        <v>849</v>
      </c>
    </row>
    <row r="24" spans="1:7" x14ac:dyDescent="0.3">
      <c r="A24" s="2" t="s">
        <v>14</v>
      </c>
      <c r="B24" s="2" t="s">
        <v>59</v>
      </c>
      <c r="C24" s="2" t="s">
        <v>60</v>
      </c>
      <c r="D24" s="2" t="s">
        <v>9</v>
      </c>
      <c r="E24" s="3">
        <v>44285</v>
      </c>
      <c r="F24" s="3" t="str">
        <f t="shared" si="0"/>
        <v>March</v>
      </c>
      <c r="G24" s="2">
        <v>229</v>
      </c>
    </row>
    <row r="25" spans="1:7" x14ac:dyDescent="0.3">
      <c r="A25" s="2" t="s">
        <v>17</v>
      </c>
      <c r="B25" s="2" t="s">
        <v>61</v>
      </c>
      <c r="C25" s="2" t="s">
        <v>62</v>
      </c>
      <c r="D25" s="2" t="s">
        <v>63</v>
      </c>
      <c r="E25" s="3">
        <v>44049</v>
      </c>
      <c r="F25" s="3" t="str">
        <f t="shared" si="0"/>
        <v>August</v>
      </c>
      <c r="G25" s="2">
        <v>349</v>
      </c>
    </row>
    <row r="26" spans="1:7" x14ac:dyDescent="0.3">
      <c r="A26" s="2" t="s">
        <v>20</v>
      </c>
      <c r="B26" s="2" t="s">
        <v>21</v>
      </c>
      <c r="C26" s="2" t="s">
        <v>64</v>
      </c>
      <c r="D26" s="2" t="s">
        <v>9</v>
      </c>
      <c r="E26" s="3">
        <v>44474</v>
      </c>
      <c r="F26" s="3" t="str">
        <f t="shared" si="0"/>
        <v>October</v>
      </c>
      <c r="G26" s="2">
        <v>899</v>
      </c>
    </row>
    <row r="27" spans="1:7" x14ac:dyDescent="0.3">
      <c r="A27" s="2" t="s">
        <v>23</v>
      </c>
      <c r="B27" s="2" t="s">
        <v>65</v>
      </c>
      <c r="C27" s="2" t="s">
        <v>66</v>
      </c>
      <c r="D27" s="2" t="s">
        <v>31</v>
      </c>
      <c r="E27" s="3">
        <v>44190</v>
      </c>
      <c r="F27" s="3" t="str">
        <f t="shared" si="0"/>
        <v>December</v>
      </c>
      <c r="G27" s="2">
        <v>499</v>
      </c>
    </row>
    <row r="28" spans="1:7" x14ac:dyDescent="0.3">
      <c r="A28" s="2" t="s">
        <v>25</v>
      </c>
      <c r="B28" s="2" t="s">
        <v>67</v>
      </c>
      <c r="C28" s="2" t="s">
        <v>68</v>
      </c>
      <c r="D28" s="2" t="s">
        <v>9</v>
      </c>
      <c r="E28" s="3">
        <v>44375</v>
      </c>
      <c r="F28" s="3" t="str">
        <f t="shared" si="0"/>
        <v>June</v>
      </c>
      <c r="G28" s="2">
        <v>1799</v>
      </c>
    </row>
    <row r="29" spans="1:7" x14ac:dyDescent="0.3">
      <c r="A29" s="2" t="s">
        <v>28</v>
      </c>
      <c r="B29" s="2" t="s">
        <v>69</v>
      </c>
      <c r="C29" s="2" t="s">
        <v>70</v>
      </c>
      <c r="D29" s="2" t="s">
        <v>31</v>
      </c>
      <c r="E29" s="3">
        <v>44291</v>
      </c>
      <c r="F29" s="3" t="str">
        <f t="shared" si="0"/>
        <v>April</v>
      </c>
      <c r="G29" s="2">
        <v>1499</v>
      </c>
    </row>
    <row r="30" spans="1:7" x14ac:dyDescent="0.3">
      <c r="A30" s="2" t="s">
        <v>32</v>
      </c>
      <c r="B30" s="2" t="s">
        <v>71</v>
      </c>
      <c r="C30" s="2" t="s">
        <v>72</v>
      </c>
      <c r="D30" s="2" t="s">
        <v>35</v>
      </c>
      <c r="E30" s="3">
        <v>44275</v>
      </c>
      <c r="F30" s="3" t="str">
        <f t="shared" si="0"/>
        <v>March</v>
      </c>
      <c r="G30" s="2">
        <v>1199</v>
      </c>
    </row>
    <row r="31" spans="1:7" x14ac:dyDescent="0.3">
      <c r="A31" s="2" t="s">
        <v>36</v>
      </c>
      <c r="B31" s="2" t="s">
        <v>73</v>
      </c>
      <c r="C31" s="2">
        <v>5</v>
      </c>
      <c r="D31" s="2" t="s">
        <v>35</v>
      </c>
      <c r="E31" s="3">
        <v>44226</v>
      </c>
      <c r="F31" s="3" t="str">
        <f t="shared" si="0"/>
        <v>January</v>
      </c>
      <c r="G31" s="2">
        <v>599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Countrywise_Sales_report</vt:lpstr>
      <vt:lpstr>Column_chart</vt:lpstr>
      <vt:lpstr>Pie_Chart</vt:lpstr>
      <vt:lpstr>Slicer</vt:lpstr>
      <vt:lpstr>January</vt:lpstr>
      <vt:lpstr>February</vt:lpstr>
      <vt:lpstr>March</vt:lpstr>
      <vt:lpstr>April</vt:lpstr>
      <vt:lpstr>May</vt:lpstr>
      <vt:lpstr>June</vt:lpstr>
      <vt:lpstr>July</vt:lpstr>
      <vt:lpstr>August</vt:lpstr>
      <vt:lpstr>September</vt:lpstr>
      <vt:lpstr>October</vt:lpstr>
      <vt:lpstr>November</vt:lpstr>
      <vt:lpstr>December</vt:lpstr>
      <vt:lpstr>(blank)</vt:lpstr>
      <vt:lpstr>Data 1</vt:lpstr>
      <vt:lpstr>Report Connection</vt:lpstr>
      <vt:lpstr>Insert Timeline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Kashyap</dc:creator>
  <cp:lastModifiedBy>Priya Kashyap</cp:lastModifiedBy>
  <dcterms:created xsi:type="dcterms:W3CDTF">2024-12-23T07:15:20Z</dcterms:created>
  <dcterms:modified xsi:type="dcterms:W3CDTF">2024-12-30T07:23:59Z</dcterms:modified>
</cp:coreProperties>
</file>